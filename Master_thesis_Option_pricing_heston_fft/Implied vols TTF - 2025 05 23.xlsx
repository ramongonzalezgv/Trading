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on\OneDrive\Desktop\Asignaturas\TFM - Volatility Smile\Codes\Data\"/>
    </mc:Choice>
  </mc:AlternateContent>
  <bookViews>
    <workbookView xWindow="28940" yWindow="-120" windowWidth="29040" windowHeight="15840"/>
  </bookViews>
  <sheets>
    <sheet name="Jul 25" sheetId="2" r:id="rId1"/>
    <sheet name="Dec 25" sheetId="1" r:id="rId2"/>
    <sheet name="Jun 26" sheetId="3" r:id="rId3"/>
    <sheet name="Dec 26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L22" i="4" s="1"/>
  <c r="N21" i="4"/>
  <c r="O21" i="4" s="1"/>
  <c r="H4" i="3"/>
  <c r="L9" i="3" s="1"/>
  <c r="N19" i="3"/>
  <c r="O19" i="3" s="1"/>
  <c r="H4" i="2"/>
  <c r="L8" i="2" s="1"/>
  <c r="N23" i="2"/>
  <c r="O23" i="2" s="1"/>
  <c r="H4" i="1"/>
  <c r="W7" i="1" s="1"/>
  <c r="N21" i="1"/>
  <c r="O21" i="1" s="1"/>
  <c r="L10" i="4" l="1"/>
  <c r="L12" i="4"/>
  <c r="L8" i="4"/>
  <c r="N12" i="4"/>
  <c r="Q12" i="4" s="1"/>
  <c r="L14" i="4"/>
  <c r="L16" i="4"/>
  <c r="L18" i="4"/>
  <c r="L20" i="4"/>
  <c r="N14" i="4"/>
  <c r="O14" i="4" s="1"/>
  <c r="N16" i="4"/>
  <c r="Q16" i="4" s="1"/>
  <c r="N8" i="4"/>
  <c r="Q8" i="4" s="1"/>
  <c r="N18" i="4"/>
  <c r="Q18" i="4" s="1"/>
  <c r="N20" i="4"/>
  <c r="O20" i="4" s="1"/>
  <c r="N22" i="4"/>
  <c r="O22" i="4" s="1"/>
  <c r="N10" i="4"/>
  <c r="O10" i="4" s="1"/>
  <c r="P16" i="4"/>
  <c r="W8" i="4"/>
  <c r="W10" i="4"/>
  <c r="W12" i="4"/>
  <c r="W14" i="4"/>
  <c r="W16" i="4"/>
  <c r="W18" i="4"/>
  <c r="W20" i="4"/>
  <c r="W22" i="4"/>
  <c r="L9" i="4"/>
  <c r="L13" i="4"/>
  <c r="N11" i="4"/>
  <c r="O11" i="4" s="1"/>
  <c r="N19" i="4"/>
  <c r="O19" i="4" s="1"/>
  <c r="L17" i="4"/>
  <c r="N9" i="4"/>
  <c r="O9" i="4" s="1"/>
  <c r="N17" i="4"/>
  <c r="O17" i="4" s="1"/>
  <c r="L7" i="4"/>
  <c r="L15" i="4"/>
  <c r="L21" i="4"/>
  <c r="N15" i="4"/>
  <c r="O15" i="4" s="1"/>
  <c r="N23" i="4"/>
  <c r="O23" i="4" s="1"/>
  <c r="P21" i="4"/>
  <c r="U21" i="4" s="1"/>
  <c r="Q21" i="4"/>
  <c r="W7" i="4"/>
  <c r="W9" i="4"/>
  <c r="W11" i="4"/>
  <c r="W13" i="4"/>
  <c r="W15" i="4"/>
  <c r="W17" i="4"/>
  <c r="W19" i="4"/>
  <c r="W21" i="4"/>
  <c r="W23" i="4"/>
  <c r="L11" i="4"/>
  <c r="L19" i="4"/>
  <c r="L23" i="4"/>
  <c r="N7" i="4"/>
  <c r="O7" i="4" s="1"/>
  <c r="N13" i="4"/>
  <c r="O13" i="4" s="1"/>
  <c r="L8" i="3"/>
  <c r="W8" i="3"/>
  <c r="W10" i="3"/>
  <c r="L14" i="3"/>
  <c r="W14" i="3"/>
  <c r="W18" i="3"/>
  <c r="L20" i="3"/>
  <c r="L18" i="3"/>
  <c r="W20" i="3"/>
  <c r="L12" i="3"/>
  <c r="W12" i="3"/>
  <c r="W16" i="3"/>
  <c r="L22" i="3"/>
  <c r="L10" i="3"/>
  <c r="L16" i="3"/>
  <c r="W22" i="3"/>
  <c r="N18" i="3"/>
  <c r="Q18" i="3" s="1"/>
  <c r="N14" i="3"/>
  <c r="P14" i="3" s="1"/>
  <c r="N20" i="3"/>
  <c r="Q20" i="3" s="1"/>
  <c r="N12" i="3"/>
  <c r="O12" i="3" s="1"/>
  <c r="N16" i="3"/>
  <c r="P16" i="3" s="1"/>
  <c r="N8" i="3"/>
  <c r="Q8" i="3" s="1"/>
  <c r="N10" i="3"/>
  <c r="O10" i="3" s="1"/>
  <c r="N22" i="3"/>
  <c r="Q22" i="3" s="1"/>
  <c r="L7" i="3"/>
  <c r="L21" i="3"/>
  <c r="N7" i="3"/>
  <c r="O7" i="3" s="1"/>
  <c r="N11" i="3"/>
  <c r="O11" i="3" s="1"/>
  <c r="P19" i="3"/>
  <c r="U19" i="3" s="1"/>
  <c r="L11" i="3"/>
  <c r="N13" i="3"/>
  <c r="O13" i="3" s="1"/>
  <c r="Q19" i="3"/>
  <c r="L19" i="3"/>
  <c r="N15" i="3"/>
  <c r="O15" i="3" s="1"/>
  <c r="L15" i="3"/>
  <c r="N21" i="3"/>
  <c r="O21" i="3" s="1"/>
  <c r="L23" i="3"/>
  <c r="N9" i="3"/>
  <c r="O9" i="3" s="1"/>
  <c r="L17" i="3"/>
  <c r="N17" i="3"/>
  <c r="O17" i="3" s="1"/>
  <c r="L13" i="3"/>
  <c r="N23" i="3"/>
  <c r="O23" i="3" s="1"/>
  <c r="W7" i="3"/>
  <c r="W9" i="3"/>
  <c r="W11" i="3"/>
  <c r="W13" i="3"/>
  <c r="W15" i="3"/>
  <c r="W17" i="3"/>
  <c r="W19" i="3"/>
  <c r="W21" i="3"/>
  <c r="W23" i="3"/>
  <c r="L12" i="2"/>
  <c r="L10" i="2"/>
  <c r="L14" i="2"/>
  <c r="L18" i="2"/>
  <c r="N16" i="2"/>
  <c r="O16" i="2" s="1"/>
  <c r="L20" i="2"/>
  <c r="N10" i="2"/>
  <c r="O10" i="2" s="1"/>
  <c r="N12" i="2"/>
  <c r="O12" i="2" s="1"/>
  <c r="N14" i="2"/>
  <c r="O14" i="2" s="1"/>
  <c r="N22" i="2"/>
  <c r="O22" i="2" s="1"/>
  <c r="N18" i="2"/>
  <c r="O18" i="2" s="1"/>
  <c r="N20" i="2"/>
  <c r="O20" i="2" s="1"/>
  <c r="N8" i="2"/>
  <c r="O8" i="2" s="1"/>
  <c r="L22" i="2"/>
  <c r="L16" i="2"/>
  <c r="W8" i="2"/>
  <c r="W10" i="2"/>
  <c r="W12" i="2"/>
  <c r="W14" i="2"/>
  <c r="W16" i="2"/>
  <c r="W18" i="2"/>
  <c r="W20" i="2"/>
  <c r="W22" i="2"/>
  <c r="L11" i="2"/>
  <c r="L19" i="2"/>
  <c r="N7" i="2"/>
  <c r="O7" i="2" s="1"/>
  <c r="N13" i="2"/>
  <c r="O13" i="2" s="1"/>
  <c r="N17" i="2"/>
  <c r="O17" i="2" s="1"/>
  <c r="L13" i="2"/>
  <c r="L23" i="2"/>
  <c r="N15" i="2"/>
  <c r="O15" i="2" s="1"/>
  <c r="N21" i="2"/>
  <c r="O21" i="2" s="1"/>
  <c r="L7" i="2"/>
  <c r="L15" i="2"/>
  <c r="L21" i="2"/>
  <c r="N11" i="2"/>
  <c r="O11" i="2" s="1"/>
  <c r="N19" i="2"/>
  <c r="O19" i="2" s="1"/>
  <c r="Q23" i="2"/>
  <c r="W7" i="2"/>
  <c r="W9" i="2"/>
  <c r="W11" i="2"/>
  <c r="W13" i="2"/>
  <c r="W15" i="2"/>
  <c r="W17" i="2"/>
  <c r="W19" i="2"/>
  <c r="W21" i="2"/>
  <c r="W23" i="2"/>
  <c r="L9" i="2"/>
  <c r="L17" i="2"/>
  <c r="N9" i="2"/>
  <c r="O9" i="2" s="1"/>
  <c r="P23" i="2"/>
  <c r="L14" i="1"/>
  <c r="W12" i="1"/>
  <c r="W14" i="1"/>
  <c r="L12" i="1"/>
  <c r="L16" i="1"/>
  <c r="W16" i="1"/>
  <c r="W8" i="1"/>
  <c r="L20" i="1"/>
  <c r="W22" i="1"/>
  <c r="L18" i="1"/>
  <c r="W18" i="1"/>
  <c r="L8" i="1"/>
  <c r="W20" i="1"/>
  <c r="L10" i="1"/>
  <c r="L22" i="1"/>
  <c r="W10" i="1"/>
  <c r="N8" i="1"/>
  <c r="P8" i="1" s="1"/>
  <c r="N10" i="1"/>
  <c r="P10" i="1" s="1"/>
  <c r="N12" i="1"/>
  <c r="P12" i="1" s="1"/>
  <c r="N14" i="1"/>
  <c r="P14" i="1" s="1"/>
  <c r="N16" i="1"/>
  <c r="P16" i="1" s="1"/>
  <c r="N18" i="1"/>
  <c r="P18" i="1" s="1"/>
  <c r="N20" i="1"/>
  <c r="P20" i="1" s="1"/>
  <c r="N22" i="1"/>
  <c r="P22" i="1" s="1"/>
  <c r="L11" i="1"/>
  <c r="L15" i="1"/>
  <c r="N23" i="1"/>
  <c r="O23" i="1" s="1"/>
  <c r="Q21" i="1"/>
  <c r="L23" i="1"/>
  <c r="N7" i="1"/>
  <c r="O7" i="1" s="1"/>
  <c r="N17" i="1"/>
  <c r="O17" i="1" s="1"/>
  <c r="P21" i="1"/>
  <c r="U21" i="1" s="1"/>
  <c r="L7" i="1"/>
  <c r="L17" i="1"/>
  <c r="N13" i="1"/>
  <c r="O13" i="1" s="1"/>
  <c r="N15" i="1"/>
  <c r="O15" i="1" s="1"/>
  <c r="L9" i="1"/>
  <c r="L21" i="1"/>
  <c r="N11" i="1"/>
  <c r="O11" i="1" s="1"/>
  <c r="N19" i="1"/>
  <c r="O19" i="1" s="1"/>
  <c r="W9" i="1"/>
  <c r="W11" i="1"/>
  <c r="W13" i="1"/>
  <c r="W15" i="1"/>
  <c r="W17" i="1"/>
  <c r="W19" i="1"/>
  <c r="W21" i="1"/>
  <c r="W23" i="1"/>
  <c r="L13" i="1"/>
  <c r="L19" i="1"/>
  <c r="N9" i="1"/>
  <c r="O9" i="1" s="1"/>
  <c r="P20" i="4" l="1"/>
  <c r="T20" i="4" s="1"/>
  <c r="O12" i="4"/>
  <c r="P7" i="3"/>
  <c r="T7" i="3" s="1"/>
  <c r="Q9" i="4"/>
  <c r="P11" i="3"/>
  <c r="U11" i="3" s="1"/>
  <c r="P9" i="4"/>
  <c r="T9" i="4" s="1"/>
  <c r="Q14" i="4"/>
  <c r="Q22" i="4"/>
  <c r="P12" i="4"/>
  <c r="T12" i="4" s="1"/>
  <c r="Q10" i="4"/>
  <c r="P8" i="4"/>
  <c r="O16" i="4"/>
  <c r="S16" i="4" s="1"/>
  <c r="O8" i="4"/>
  <c r="S21" i="4"/>
  <c r="Q15" i="4"/>
  <c r="Q20" i="4"/>
  <c r="S20" i="4" s="1"/>
  <c r="O18" i="4"/>
  <c r="P11" i="4"/>
  <c r="U11" i="4" s="1"/>
  <c r="P22" i="4"/>
  <c r="T22" i="4" s="1"/>
  <c r="P18" i="4"/>
  <c r="P17" i="4"/>
  <c r="T17" i="4" s="1"/>
  <c r="Q7" i="4"/>
  <c r="P13" i="4"/>
  <c r="P10" i="4"/>
  <c r="U20" i="4"/>
  <c r="P14" i="4"/>
  <c r="T14" i="4" s="1"/>
  <c r="Q13" i="4"/>
  <c r="P7" i="4"/>
  <c r="U7" i="4" s="1"/>
  <c r="Q19" i="4"/>
  <c r="P19" i="4"/>
  <c r="U19" i="4" s="1"/>
  <c r="P23" i="4"/>
  <c r="U23" i="4" s="1"/>
  <c r="Q23" i="4"/>
  <c r="R21" i="4"/>
  <c r="X21" i="4" s="1"/>
  <c r="P15" i="4"/>
  <c r="U15" i="4" s="1"/>
  <c r="T21" i="4"/>
  <c r="S19" i="3"/>
  <c r="Q17" i="4"/>
  <c r="Q11" i="4"/>
  <c r="P20" i="2"/>
  <c r="U20" i="2" s="1"/>
  <c r="P18" i="3"/>
  <c r="O14" i="3"/>
  <c r="U14" i="3" s="1"/>
  <c r="P22" i="3"/>
  <c r="Q10" i="3"/>
  <c r="P10" i="3"/>
  <c r="T10" i="3" s="1"/>
  <c r="O18" i="3"/>
  <c r="O16" i="3"/>
  <c r="U16" i="3" s="1"/>
  <c r="O20" i="3"/>
  <c r="Q12" i="3"/>
  <c r="Q16" i="3"/>
  <c r="P12" i="3"/>
  <c r="Q14" i="3"/>
  <c r="O22" i="3"/>
  <c r="P20" i="3"/>
  <c r="P8" i="3"/>
  <c r="O8" i="3"/>
  <c r="Q17" i="3"/>
  <c r="Q21" i="3"/>
  <c r="Q11" i="3"/>
  <c r="S11" i="3" s="1"/>
  <c r="Q22" i="2"/>
  <c r="Q9" i="3"/>
  <c r="Q7" i="3"/>
  <c r="S7" i="3" s="1"/>
  <c r="Q12" i="2"/>
  <c r="Q15" i="3"/>
  <c r="Q16" i="2"/>
  <c r="P22" i="2"/>
  <c r="U22" i="2" s="1"/>
  <c r="P18" i="2"/>
  <c r="T18" i="2" s="1"/>
  <c r="P16" i="2"/>
  <c r="T16" i="2" s="1"/>
  <c r="P12" i="2"/>
  <c r="T12" i="2" s="1"/>
  <c r="P21" i="3"/>
  <c r="T21" i="3" s="1"/>
  <c r="P15" i="3"/>
  <c r="T15" i="3" s="1"/>
  <c r="Q13" i="3"/>
  <c r="P23" i="3"/>
  <c r="T23" i="3" s="1"/>
  <c r="P17" i="3"/>
  <c r="U17" i="3" s="1"/>
  <c r="R19" i="3"/>
  <c r="X19" i="3" s="1"/>
  <c r="P9" i="3"/>
  <c r="U9" i="3" s="1"/>
  <c r="P13" i="3"/>
  <c r="U13" i="3" s="1"/>
  <c r="T11" i="3"/>
  <c r="T19" i="3"/>
  <c r="Q23" i="3"/>
  <c r="U7" i="3"/>
  <c r="Q8" i="2"/>
  <c r="P14" i="2"/>
  <c r="T14" i="2" s="1"/>
  <c r="P8" i="2"/>
  <c r="U8" i="2" s="1"/>
  <c r="P19" i="2"/>
  <c r="T19" i="2" s="1"/>
  <c r="Q14" i="2"/>
  <c r="Q10" i="2"/>
  <c r="R23" i="2"/>
  <c r="X23" i="2" s="1"/>
  <c r="P10" i="2"/>
  <c r="Q21" i="2"/>
  <c r="Q20" i="2"/>
  <c r="Q18" i="2"/>
  <c r="Q9" i="2"/>
  <c r="P15" i="2"/>
  <c r="T23" i="2"/>
  <c r="U23" i="2"/>
  <c r="P21" i="2"/>
  <c r="U21" i="2" s="1"/>
  <c r="Q15" i="2"/>
  <c r="S23" i="2"/>
  <c r="Q19" i="2"/>
  <c r="Q11" i="2"/>
  <c r="P17" i="2"/>
  <c r="U17" i="2" s="1"/>
  <c r="P11" i="2"/>
  <c r="T11" i="2" s="1"/>
  <c r="Q17" i="2"/>
  <c r="P9" i="2"/>
  <c r="T9" i="2" s="1"/>
  <c r="Q7" i="2"/>
  <c r="P13" i="2"/>
  <c r="P7" i="2"/>
  <c r="U7" i="2" s="1"/>
  <c r="Q13" i="2"/>
  <c r="P9" i="1"/>
  <c r="T9" i="1" s="1"/>
  <c r="P13" i="1"/>
  <c r="Q11" i="1"/>
  <c r="S21" i="1"/>
  <c r="P17" i="1"/>
  <c r="T17" i="1" s="1"/>
  <c r="Q13" i="1"/>
  <c r="P23" i="1"/>
  <c r="U23" i="1" s="1"/>
  <c r="Q23" i="1"/>
  <c r="Q7" i="1"/>
  <c r="P7" i="1"/>
  <c r="T7" i="1" s="1"/>
  <c r="Q19" i="1"/>
  <c r="Q10" i="1"/>
  <c r="O10" i="1"/>
  <c r="R21" i="1"/>
  <c r="X21" i="1" s="1"/>
  <c r="P19" i="1"/>
  <c r="Q22" i="1"/>
  <c r="O22" i="1"/>
  <c r="Q18" i="1"/>
  <c r="O18" i="1"/>
  <c r="Q12" i="1"/>
  <c r="O12" i="1"/>
  <c r="P11" i="1"/>
  <c r="T11" i="1" s="1"/>
  <c r="T21" i="1"/>
  <c r="Q20" i="1"/>
  <c r="O20" i="1"/>
  <c r="Q15" i="1"/>
  <c r="Q16" i="1"/>
  <c r="O16" i="1"/>
  <c r="Q14" i="1"/>
  <c r="O14" i="1"/>
  <c r="Q8" i="1"/>
  <c r="O8" i="1"/>
  <c r="Q9" i="1"/>
  <c r="P15" i="1"/>
  <c r="T15" i="1" s="1"/>
  <c r="Q17" i="1"/>
  <c r="S9" i="4" l="1"/>
  <c r="R9" i="4"/>
  <c r="X9" i="4" s="1"/>
  <c r="U9" i="4"/>
  <c r="R20" i="4"/>
  <c r="X20" i="4" s="1"/>
  <c r="S22" i="4"/>
  <c r="U18" i="4"/>
  <c r="U8" i="4"/>
  <c r="S8" i="3"/>
  <c r="S14" i="4"/>
  <c r="S13" i="4"/>
  <c r="S8" i="4"/>
  <c r="U12" i="4"/>
  <c r="T11" i="4"/>
  <c r="R18" i="3"/>
  <c r="X18" i="3" s="1"/>
  <c r="R8" i="4"/>
  <c r="X8" i="4" s="1"/>
  <c r="T8" i="4"/>
  <c r="S12" i="4"/>
  <c r="R15" i="4"/>
  <c r="X15" i="4" s="1"/>
  <c r="T15" i="4"/>
  <c r="S15" i="4"/>
  <c r="R12" i="4"/>
  <c r="X12" i="4" s="1"/>
  <c r="R18" i="4"/>
  <c r="X18" i="4" s="1"/>
  <c r="S18" i="4"/>
  <c r="S11" i="4"/>
  <c r="T18" i="4"/>
  <c r="R13" i="4"/>
  <c r="X13" i="4" s="1"/>
  <c r="R17" i="4"/>
  <c r="X17" i="4" s="1"/>
  <c r="U17" i="4"/>
  <c r="U16" i="4"/>
  <c r="T16" i="4"/>
  <c r="U22" i="4"/>
  <c r="R22" i="4"/>
  <c r="X22" i="4" s="1"/>
  <c r="T13" i="4"/>
  <c r="R20" i="3"/>
  <c r="X20" i="3" s="1"/>
  <c r="U13" i="4"/>
  <c r="R16" i="4"/>
  <c r="X16" i="4" s="1"/>
  <c r="S12" i="3"/>
  <c r="R7" i="4"/>
  <c r="X7" i="4" s="1"/>
  <c r="T7" i="4"/>
  <c r="S7" i="4"/>
  <c r="R14" i="4"/>
  <c r="X14" i="4" s="1"/>
  <c r="T10" i="4"/>
  <c r="U10" i="4"/>
  <c r="R10" i="4"/>
  <c r="X10" i="4" s="1"/>
  <c r="U14" i="4"/>
  <c r="S19" i="4"/>
  <c r="T20" i="2"/>
  <c r="U23" i="3"/>
  <c r="S23" i="4"/>
  <c r="S10" i="4"/>
  <c r="U20" i="3"/>
  <c r="T23" i="4"/>
  <c r="R11" i="4"/>
  <c r="X11" i="4" s="1"/>
  <c r="S18" i="3"/>
  <c r="R20" i="2"/>
  <c r="X20" i="2" s="1"/>
  <c r="T20" i="3"/>
  <c r="R23" i="4"/>
  <c r="X23" i="4" s="1"/>
  <c r="R10" i="3"/>
  <c r="X10" i="3" s="1"/>
  <c r="T19" i="4"/>
  <c r="T14" i="3"/>
  <c r="S20" i="3"/>
  <c r="R14" i="3"/>
  <c r="X14" i="3" s="1"/>
  <c r="R19" i="4"/>
  <c r="X19" i="4" s="1"/>
  <c r="S17" i="4"/>
  <c r="U10" i="3"/>
  <c r="U18" i="3"/>
  <c r="T18" i="3"/>
  <c r="S16" i="3"/>
  <c r="R12" i="3"/>
  <c r="X12" i="3" s="1"/>
  <c r="S15" i="2"/>
  <c r="T8" i="3"/>
  <c r="U8" i="3"/>
  <c r="S14" i="3"/>
  <c r="U22" i="3"/>
  <c r="S17" i="3"/>
  <c r="S16" i="2"/>
  <c r="R8" i="3"/>
  <c r="X8" i="3" s="1"/>
  <c r="T16" i="3"/>
  <c r="R22" i="2"/>
  <c r="X22" i="2" s="1"/>
  <c r="T22" i="3"/>
  <c r="R17" i="3"/>
  <c r="X17" i="3" s="1"/>
  <c r="T17" i="3"/>
  <c r="R16" i="3"/>
  <c r="X16" i="3" s="1"/>
  <c r="T22" i="2"/>
  <c r="R7" i="3"/>
  <c r="X7" i="3" s="1"/>
  <c r="S22" i="3"/>
  <c r="R22" i="3"/>
  <c r="X22" i="3" s="1"/>
  <c r="R11" i="3"/>
  <c r="X11" i="3" s="1"/>
  <c r="T12" i="3"/>
  <c r="S13" i="3"/>
  <c r="R15" i="3"/>
  <c r="X15" i="3" s="1"/>
  <c r="U12" i="3"/>
  <c r="S10" i="3"/>
  <c r="S23" i="3"/>
  <c r="S15" i="3"/>
  <c r="R16" i="2"/>
  <c r="X16" i="2" s="1"/>
  <c r="U15" i="3"/>
  <c r="S18" i="2"/>
  <c r="S9" i="3"/>
  <c r="U12" i="2"/>
  <c r="U16" i="2"/>
  <c r="R12" i="2"/>
  <c r="X12" i="2" s="1"/>
  <c r="R21" i="3"/>
  <c r="X21" i="3" s="1"/>
  <c r="S21" i="3"/>
  <c r="U21" i="3"/>
  <c r="R9" i="3"/>
  <c r="X9" i="3" s="1"/>
  <c r="S12" i="2"/>
  <c r="T9" i="3"/>
  <c r="U18" i="2"/>
  <c r="S22" i="2"/>
  <c r="R23" i="3"/>
  <c r="X23" i="3" s="1"/>
  <c r="R13" i="3"/>
  <c r="X13" i="3" s="1"/>
  <c r="T13" i="3"/>
  <c r="S14" i="2"/>
  <c r="U14" i="2"/>
  <c r="R10" i="2"/>
  <c r="X10" i="2" s="1"/>
  <c r="S19" i="2"/>
  <c r="R14" i="2"/>
  <c r="X14" i="2" s="1"/>
  <c r="U11" i="2"/>
  <c r="T10" i="2"/>
  <c r="U10" i="2"/>
  <c r="U19" i="2"/>
  <c r="S8" i="2"/>
  <c r="T8" i="2"/>
  <c r="R8" i="2"/>
  <c r="X8" i="2" s="1"/>
  <c r="S10" i="2"/>
  <c r="T21" i="2"/>
  <c r="S21" i="2"/>
  <c r="R15" i="2"/>
  <c r="X15" i="2" s="1"/>
  <c r="T15" i="2"/>
  <c r="R18" i="2"/>
  <c r="X18" i="2" s="1"/>
  <c r="U15" i="2"/>
  <c r="S20" i="2"/>
  <c r="R21" i="2"/>
  <c r="X21" i="2" s="1"/>
  <c r="R13" i="2"/>
  <c r="X13" i="2" s="1"/>
  <c r="S7" i="2"/>
  <c r="S13" i="2"/>
  <c r="R11" i="2"/>
  <c r="X11" i="2" s="1"/>
  <c r="S17" i="2"/>
  <c r="R17" i="2"/>
  <c r="X17" i="2" s="1"/>
  <c r="R9" i="2"/>
  <c r="X9" i="2" s="1"/>
  <c r="U9" i="2"/>
  <c r="R19" i="2"/>
  <c r="X19" i="2" s="1"/>
  <c r="T13" i="2"/>
  <c r="S9" i="2"/>
  <c r="U13" i="2"/>
  <c r="T7" i="2"/>
  <c r="R7" i="2"/>
  <c r="X7" i="2" s="1"/>
  <c r="T17" i="2"/>
  <c r="S11" i="2"/>
  <c r="S7" i="1"/>
  <c r="U11" i="1"/>
  <c r="S11" i="1"/>
  <c r="R11" i="1"/>
  <c r="X11" i="1" s="1"/>
  <c r="S17" i="1"/>
  <c r="U17" i="1"/>
  <c r="U9" i="1"/>
  <c r="R9" i="1"/>
  <c r="X9" i="1" s="1"/>
  <c r="U7" i="1"/>
  <c r="R7" i="1"/>
  <c r="X7" i="1" s="1"/>
  <c r="R17" i="1"/>
  <c r="X17" i="1" s="1"/>
  <c r="U15" i="1"/>
  <c r="S15" i="1"/>
  <c r="R13" i="1"/>
  <c r="X13" i="1" s="1"/>
  <c r="U13" i="1"/>
  <c r="T13" i="1"/>
  <c r="S13" i="1"/>
  <c r="T23" i="1"/>
  <c r="R23" i="1"/>
  <c r="X23" i="1" s="1"/>
  <c r="R19" i="1"/>
  <c r="X19" i="1" s="1"/>
  <c r="S23" i="1"/>
  <c r="S9" i="1"/>
  <c r="S16" i="1"/>
  <c r="T16" i="1"/>
  <c r="R16" i="1"/>
  <c r="X16" i="1" s="1"/>
  <c r="U16" i="1"/>
  <c r="R14" i="1"/>
  <c r="X14" i="1" s="1"/>
  <c r="T14" i="1"/>
  <c r="S14" i="1"/>
  <c r="U14" i="1"/>
  <c r="T22" i="1"/>
  <c r="R22" i="1"/>
  <c r="X22" i="1" s="1"/>
  <c r="S22" i="1"/>
  <c r="U22" i="1"/>
  <c r="R15" i="1"/>
  <c r="X15" i="1" s="1"/>
  <c r="T20" i="1"/>
  <c r="R20" i="1"/>
  <c r="X20" i="1" s="1"/>
  <c r="S20" i="1"/>
  <c r="U20" i="1"/>
  <c r="S19" i="1"/>
  <c r="T19" i="1"/>
  <c r="U19" i="1"/>
  <c r="R10" i="1"/>
  <c r="X10" i="1" s="1"/>
  <c r="U10" i="1"/>
  <c r="S10" i="1"/>
  <c r="T10" i="1"/>
  <c r="U12" i="1"/>
  <c r="S12" i="1"/>
  <c r="R12" i="1"/>
  <c r="X12" i="1" s="1"/>
  <c r="T12" i="1"/>
  <c r="U8" i="1"/>
  <c r="T8" i="1"/>
  <c r="S8" i="1"/>
  <c r="R8" i="1"/>
  <c r="X8" i="1" s="1"/>
  <c r="S18" i="1"/>
  <c r="T18" i="1"/>
  <c r="U18" i="1"/>
  <c r="R18" i="1"/>
  <c r="X18" i="1" s="1"/>
</calcChain>
</file>

<file path=xl/sharedStrings.xml><?xml version="1.0" encoding="utf-8"?>
<sst xmlns="http://schemas.openxmlformats.org/spreadsheetml/2006/main" count="264" uniqueCount="168">
  <si>
    <t>Implied vols of options on TTF futures (2)</t>
  </si>
  <si>
    <t>Freq</t>
  </si>
  <si>
    <t>1M</t>
  </si>
  <si>
    <t>Date</t>
  </si>
  <si>
    <t>Month</t>
  </si>
  <si>
    <t>ATM fwd</t>
  </si>
  <si>
    <t>Rate</t>
  </si>
  <si>
    <t>Test con la fórmula de Black</t>
  </si>
  <si>
    <t>Moneyness</t>
  </si>
  <si>
    <t>RIC</t>
  </si>
  <si>
    <t>BID</t>
  </si>
  <si>
    <t>ASK</t>
  </si>
  <si>
    <t>LAST</t>
  </si>
  <si>
    <t>HISTORIC CLOSE</t>
  </si>
  <si>
    <t>DISPLAY NAME</t>
  </si>
  <si>
    <t>EXPIRE DATE</t>
  </si>
  <si>
    <t>TRDTIM_1</t>
  </si>
  <si>
    <t>STRIKE_PRC</t>
  </si>
  <si>
    <t>Tenor</t>
  </si>
  <si>
    <t>Disc. Factor</t>
  </si>
  <si>
    <t>d1</t>
  </si>
  <si>
    <t>d2</t>
  </si>
  <si>
    <t>Call price</t>
  </si>
  <si>
    <t>Put price</t>
  </si>
  <si>
    <t>Call delta</t>
  </si>
  <si>
    <t>Put delta</t>
  </si>
  <si>
    <t>Intrinsic value</t>
  </si>
  <si>
    <t>Time value</t>
  </si>
  <si>
    <t>TFMB 50% DEC25</t>
  </si>
  <si>
    <t>TFMB 60% DEC25</t>
  </si>
  <si>
    <t>TFMB 70% DEC25</t>
  </si>
  <si>
    <t>TFMB 75% DEC25</t>
  </si>
  <si>
    <t>TFMB 80% DEC25</t>
  </si>
  <si>
    <t>TFMB 85% DEC25</t>
  </si>
  <si>
    <t>TFMB 90% DEC25</t>
  </si>
  <si>
    <t>TFMB 95% DEC25</t>
  </si>
  <si>
    <t>TFMB 100% DEC25</t>
  </si>
  <si>
    <t>TFMB 105% DEC25</t>
  </si>
  <si>
    <t>TFMB 110% DEC25</t>
  </si>
  <si>
    <t>TFMB 115% DEC25</t>
  </si>
  <si>
    <t>TFMB 120% DEC25</t>
  </si>
  <si>
    <t>TFMB 125% DEC25</t>
  </si>
  <si>
    <t>TFMB 130% DEC25</t>
  </si>
  <si>
    <t>TFMB 140% DEC25</t>
  </si>
  <si>
    <t>TFMB 150% DEC25</t>
  </si>
  <si>
    <t>Obs:</t>
  </si>
  <si>
    <t>Esta es la fuente de información que parece más relevante. Hay niveles de volatilidad implicita para los niveles de moneyness y plazo más razonables</t>
  </si>
  <si>
    <t>Ver siguiente pestaña para ver la superficie de volatilidad que se obtiene</t>
  </si>
  <si>
    <t>TFMB100IVQH25</t>
  </si>
  <si>
    <t>TFMB50IVMZ25</t>
  </si>
  <si>
    <t>TFMB60IVMZ25</t>
  </si>
  <si>
    <t>TFMB70IVMZ25</t>
  </si>
  <si>
    <t>TFMB75IVMZ25</t>
  </si>
  <si>
    <t>TFMB80IVMZ25</t>
  </si>
  <si>
    <t>TFMB85IVMZ25</t>
  </si>
  <si>
    <t>TFMB90IVMZ25</t>
  </si>
  <si>
    <t>TFMB95IVMZ25</t>
  </si>
  <si>
    <t>TFMB100IVMZ25</t>
  </si>
  <si>
    <t>TFMB105IVMZ25</t>
  </si>
  <si>
    <t>TFMB110IVMZ25</t>
  </si>
  <si>
    <t>TFMB115IVMZ25</t>
  </si>
  <si>
    <t>TFMB120IVMZ25</t>
  </si>
  <si>
    <t>TFMB125IVMZ25</t>
  </si>
  <si>
    <t>TFMB130IVMZ25</t>
  </si>
  <si>
    <t>TFMB140IVMZ25</t>
  </si>
  <si>
    <t>TFMB150IVMZ25</t>
  </si>
  <si>
    <t>TFMB 50% JUL25</t>
  </si>
  <si>
    <t>TFMB 60% JUL25</t>
  </si>
  <si>
    <t>TFMB 70% JUL25</t>
  </si>
  <si>
    <t>TFMB 75% JUL25</t>
  </si>
  <si>
    <t>TFMB 80% JUL25</t>
  </si>
  <si>
    <t>TFMB 85% JUL25</t>
  </si>
  <si>
    <t>TFMB 90% JUL25</t>
  </si>
  <si>
    <t>TFMB 95% JUL25</t>
  </si>
  <si>
    <t>TFMB 100% JUL25</t>
  </si>
  <si>
    <t>TFMB 105% JUL25</t>
  </si>
  <si>
    <t>TFMB 110% JUL25</t>
  </si>
  <si>
    <t>TFMB 115% JUL25</t>
  </si>
  <si>
    <t>TFMB 120% JUL25</t>
  </si>
  <si>
    <t>TFMB 125% JUL25</t>
  </si>
  <si>
    <t>TFMB 130% JUL25</t>
  </si>
  <si>
    <t>TFMB 140% JUL25</t>
  </si>
  <si>
    <t>TFMB 150% JUL25</t>
  </si>
  <si>
    <t>TFMB50IVMN25</t>
  </si>
  <si>
    <t>TFMB60IVMN25</t>
  </si>
  <si>
    <t>TFMB70IVMN25</t>
  </si>
  <si>
    <t>TFMB75IVMN25</t>
  </si>
  <si>
    <t>TFMB80IVMN25</t>
  </si>
  <si>
    <t>TFMB85IVMN25</t>
  </si>
  <si>
    <t>TFMB90IVMN25</t>
  </si>
  <si>
    <t>TFMB95IVMN25</t>
  </si>
  <si>
    <t>TFMB100IVMN25</t>
  </si>
  <si>
    <t>TFMB105IVMN25</t>
  </si>
  <si>
    <t>TFMB110IVMN25</t>
  </si>
  <si>
    <t>TFMB115IVMN25</t>
  </si>
  <si>
    <t>TFMB120IVMN25</t>
  </si>
  <si>
    <t>TFMB125IVMN25</t>
  </si>
  <si>
    <t>TFMB130IVMN25</t>
  </si>
  <si>
    <t>TFMB140IVMN25</t>
  </si>
  <si>
    <t>TFMB150IVMN25</t>
  </si>
  <si>
    <t>TFMB50IVMM26</t>
  </si>
  <si>
    <t>TFMB 50% JUN26</t>
  </si>
  <si>
    <t>TFMB60IVMM26</t>
  </si>
  <si>
    <t>TFMB 60% JUN26</t>
  </si>
  <si>
    <t>TFMB70IVMM26</t>
  </si>
  <si>
    <t>TFMB 70% JUN26</t>
  </si>
  <si>
    <t>TFMB75IVMM26</t>
  </si>
  <si>
    <t>TFMB 75% JUN26</t>
  </si>
  <si>
    <t>TFMB80IVMM26</t>
  </si>
  <si>
    <t>TFMB 80% JUN26</t>
  </si>
  <si>
    <t>TFMB85IVMM26</t>
  </si>
  <si>
    <t>TFMB 85% JUN26</t>
  </si>
  <si>
    <t>TFMB90IVMM26</t>
  </si>
  <si>
    <t>TFMB 90% JUN26</t>
  </si>
  <si>
    <t>TFMB95IVMM26</t>
  </si>
  <si>
    <t>TFMB 95% JUN26</t>
  </si>
  <si>
    <t>TFMB100IVMM26</t>
  </si>
  <si>
    <t>TFMB 100% JUN26</t>
  </si>
  <si>
    <t>TFMB105IVMM26</t>
  </si>
  <si>
    <t>TFMB 105% JUN26</t>
  </si>
  <si>
    <t>TFMB110IVMM26</t>
  </si>
  <si>
    <t>TFMB 110% JUN26</t>
  </si>
  <si>
    <t>TFMB115IVMM26</t>
  </si>
  <si>
    <t>TFMB 115% JUN26</t>
  </si>
  <si>
    <t>TFMB120IVMM26</t>
  </si>
  <si>
    <t>TFMB 120% JUN26</t>
  </si>
  <si>
    <t>TFMB125IVMM26</t>
  </si>
  <si>
    <t>TFMB 125% JUN26</t>
  </si>
  <si>
    <t>TFMB130IVMM26</t>
  </si>
  <si>
    <t>TFMB 130% JUN26</t>
  </si>
  <si>
    <t>TFMB140IVMM26</t>
  </si>
  <si>
    <t>TFMB 140% JUN26</t>
  </si>
  <si>
    <t>TFMB150IVMM26</t>
  </si>
  <si>
    <t>TFMB 150% JUN26</t>
  </si>
  <si>
    <t>TFMB 50% DEC26</t>
  </si>
  <si>
    <t>TFMB 60% DEC26</t>
  </si>
  <si>
    <t>TFMB 70% DEC26</t>
  </si>
  <si>
    <t>TFMB 75% DEC26</t>
  </si>
  <si>
    <t>TFMB 80% DEC26</t>
  </si>
  <si>
    <t>TFMB 85% DEC26</t>
  </si>
  <si>
    <t>TFMB 90% DEC26</t>
  </si>
  <si>
    <t>TFMB 95% DEC26</t>
  </si>
  <si>
    <t>TFMB 100% DEC26</t>
  </si>
  <si>
    <t>TFMB 105% DEC26</t>
  </si>
  <si>
    <t>TFMB 110% DEC26</t>
  </si>
  <si>
    <t>TFMB 115% DEC26</t>
  </si>
  <si>
    <t>TFMB 120% DEC26</t>
  </si>
  <si>
    <t>TFMB 125% DEC26</t>
  </si>
  <si>
    <t>TFMB 130% DEC26</t>
  </si>
  <si>
    <t>TFMB 140% DEC26</t>
  </si>
  <si>
    <t>TFMB 150% DEC26</t>
  </si>
  <si>
    <t>TFMB50IVMZ26</t>
  </si>
  <si>
    <t>TFMB60IVMZ26</t>
  </si>
  <si>
    <t>TFMB70IVMZ26</t>
  </si>
  <si>
    <t>TFMB75IVMZ26</t>
  </si>
  <si>
    <t>TFMB80IVMZ26</t>
  </si>
  <si>
    <t>TFMB85IVMZ26</t>
  </si>
  <si>
    <t>TFMB90IVMZ26</t>
  </si>
  <si>
    <t>TFMB95IVMZ26</t>
  </si>
  <si>
    <t>TFMB100IVMZ26</t>
  </si>
  <si>
    <t>TFMB105IVMZ26</t>
  </si>
  <si>
    <t>TFMB110IVMZ26</t>
  </si>
  <si>
    <t>TFMB115IVMZ26</t>
  </si>
  <si>
    <t>TFMB120IVMZ26</t>
  </si>
  <si>
    <t>TFMB125IVMZ26</t>
  </si>
  <si>
    <t>TFMB130IVMZ26</t>
  </si>
  <si>
    <t>TFMB140IVMZ26</t>
  </si>
  <si>
    <t>TFMB150IVMZ26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</si>
</sst>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mmmyy"/>
    <numFmt numFmtId="165" formatCode="0.0000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/>
    <xf numFmtId="17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0" fontId="3" fillId="4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17" fontId="4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5" borderId="1" xfId="0" quotePrefix="1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9" fontId="3" fillId="2" borderId="1" xfId="1" applyFont="1" applyFill="1" applyBorder="1"/>
    <xf numFmtId="165" fontId="3" fillId="5" borderId="1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10" fontId="3" fillId="5" borderId="1" xfId="1" applyNumberFormat="1" applyFont="1" applyFill="1" applyBorder="1" applyAlignment="1">
      <alignment horizontal="center"/>
    </xf>
    <xf numFmtId="2" fontId="3" fillId="2" borderId="1" xfId="0" applyNumberFormat="1" applyFont="1" applyFill="1" applyBorder="1"/>
    <xf numFmtId="14" fontId="3" fillId="5" borderId="1" xfId="0" quotePrefix="1" applyNumberFormat="1" applyFont="1" applyFill="1" applyBorder="1" applyAlignment="1">
      <alignment horizontal="center"/>
    </xf>
    <xf numFmtId="0" fontId="5" fillId="2" borderId="1" xfId="0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Y43"/>
  <sheetViews>
    <sheetView tabSelected="1" topLeftCell="G1" zoomScale="123" workbookViewId="0">
      <selection activeCell="R3" sqref="R3"/>
    </sheetView>
  </sheetViews>
  <sheetFormatPr baseColWidth="10" defaultColWidth="9.1796875" defaultRowHeight="11" thickTop="1" thickBottom="1" x14ac:dyDescent="0.25"/>
  <cols>
    <col min="1" max="1" width="9.1796875" style="7"/>
    <col min="2" max="2" width="12.7265625" style="7" customWidth="1"/>
    <col min="3" max="3" width="20.7265625" style="7" customWidth="1"/>
    <col min="4" max="4" width="5.7265625" style="7" bestFit="1" customWidth="1"/>
    <col min="5" max="5" width="5.81640625" style="7" customWidth="1"/>
    <col min="6" max="6" width="5.1796875" style="7" bestFit="1" customWidth="1"/>
    <col min="7" max="7" width="11.453125" style="7" customWidth="1"/>
    <col min="8" max="8" width="18.1796875" style="7" customWidth="1"/>
    <col min="9" max="9" width="10.1796875" style="7" customWidth="1"/>
    <col min="10" max="10" width="11.453125" style="7" customWidth="1"/>
    <col min="11" max="11" width="12" style="7" customWidth="1"/>
    <col min="12" max="12" width="6.26953125" style="7" customWidth="1"/>
    <col min="13" max="13" width="9.1796875" style="7"/>
    <col min="14" max="15" width="9.1796875" style="11"/>
    <col min="16" max="17" width="6.26953125" style="11" bestFit="1" customWidth="1"/>
    <col min="18" max="18" width="9.1796875" style="7"/>
    <col min="19" max="19" width="10.7265625" style="7" customWidth="1"/>
    <col min="20" max="16384" width="9.1796875" style="7"/>
  </cols>
  <sheetData>
    <row r="2" spans="2:25" s="2" customFormat="1" ht="14" thickTop="1" thickBot="1" x14ac:dyDescent="0.35">
      <c r="B2" s="1" t="s">
        <v>0</v>
      </c>
      <c r="G2" s="3" t="s">
        <v>1</v>
      </c>
      <c r="H2" s="4" t="s">
        <v>2</v>
      </c>
      <c r="J2" s="3" t="s">
        <v>3</v>
      </c>
      <c r="K2" s="5">
        <v>45801</v>
      </c>
      <c r="N2" s="6"/>
      <c r="O2" s="6"/>
      <c r="P2" s="6"/>
      <c r="Q2" s="6"/>
    </row>
    <row r="3" spans="2:25" s="2" customFormat="1" ht="13.5" thickTop="1" thickBot="1" x14ac:dyDescent="0.3">
      <c r="J3" s="6"/>
      <c r="N3" s="6"/>
      <c r="O3" s="6"/>
      <c r="P3" s="6"/>
      <c r="Q3" s="6"/>
      <c r="R3" s="25"/>
    </row>
    <row r="4" spans="2:25" thickTop="1" thickBot="1" x14ac:dyDescent="0.25">
      <c r="D4" s="3" t="s">
        <v>4</v>
      </c>
      <c r="E4" s="8">
        <v>45839</v>
      </c>
      <c r="G4" s="3" t="s">
        <v>5</v>
      </c>
      <c r="H4" s="9">
        <f>K15</f>
        <v>36.44</v>
      </c>
      <c r="J4" s="3" t="s">
        <v>6</v>
      </c>
      <c r="K4" s="10">
        <v>3.5200000000000002E-2</v>
      </c>
    </row>
    <row r="5" spans="2:25" ht="11.5" thickTop="1" thickBot="1" x14ac:dyDescent="0.3">
      <c r="N5" s="12" t="s">
        <v>7</v>
      </c>
    </row>
    <row r="6" spans="2:25" s="15" customFormat="1" ht="22" thickTop="1" thickBot="1" x14ac:dyDescent="0.3">
      <c r="B6" s="13" t="s">
        <v>8</v>
      </c>
      <c r="C6" s="14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3" t="s">
        <v>14</v>
      </c>
      <c r="I6" s="13" t="s">
        <v>15</v>
      </c>
      <c r="J6" s="13" t="s">
        <v>16</v>
      </c>
      <c r="K6" s="13" t="s">
        <v>17</v>
      </c>
      <c r="N6" s="13" t="s">
        <v>18</v>
      </c>
      <c r="O6" s="13" t="s">
        <v>19</v>
      </c>
      <c r="P6" s="13" t="s">
        <v>20</v>
      </c>
      <c r="Q6" s="13" t="s">
        <v>21</v>
      </c>
      <c r="R6" s="13" t="s">
        <v>22</v>
      </c>
      <c r="S6" s="13" t="s">
        <v>23</v>
      </c>
      <c r="T6" s="16" t="s">
        <v>24</v>
      </c>
      <c r="U6" s="16" t="s">
        <v>25</v>
      </c>
      <c r="W6" s="15" t="s">
        <v>26</v>
      </c>
      <c r="X6" s="15" t="s">
        <v>27</v>
      </c>
    </row>
    <row r="7" spans="2:25" thickTop="1" thickBot="1" x14ac:dyDescent="0.25">
      <c r="B7" s="9">
        <v>50</v>
      </c>
      <c r="C7" s="9" t="s">
        <v>83</v>
      </c>
      <c r="D7" s="17" t="e">
        <v>#N/A</v>
      </c>
      <c r="E7" s="17" t="e">
        <v>#N/A</v>
      </c>
      <c r="F7" s="9">
        <v>77.459999999999994</v>
      </c>
      <c r="G7" s="9">
        <v>77.45</v>
      </c>
      <c r="H7" s="17" t="s">
        <v>66</v>
      </c>
      <c r="I7" s="18">
        <v>45834</v>
      </c>
      <c r="J7" s="17">
        <v>0</v>
      </c>
      <c r="K7" s="9">
        <v>18.22</v>
      </c>
      <c r="L7" s="19">
        <f>K7/$H$4</f>
        <v>0.5</v>
      </c>
      <c r="N7" s="20">
        <f>(I7-$K$2)/365</f>
        <v>9.0410958904109592E-2</v>
      </c>
      <c r="O7" s="20">
        <f>EXP(-$K$4*N7)</f>
        <v>0.99682259292293351</v>
      </c>
      <c r="P7" s="20">
        <f>(LN($H$4/K7)+0.5*(G7/100)^2*N7)/(G7/100*SQRT(N7))</f>
        <v>3.0928550520081788</v>
      </c>
      <c r="Q7" s="20">
        <f>(LN($H$4/K7)-0.5*(G7/100)^2*N7)/(G7/100*SQRT(N7))</f>
        <v>2.8599751767476276</v>
      </c>
      <c r="R7" s="21">
        <f>O7*($H$4*_xlfn.NORM.S.DIST(P7,TRUE)-K7*_xlfn.NORM.S.DIST(Q7,TRUE))</f>
        <v>18.164576990275705</v>
      </c>
      <c r="S7" s="21">
        <f>O7*(K7*_xlfn.NORM.S.DIST(-Q7,TRUE)-$H$4*_xlfn.NORM.S.DIST(-P7,TRUE))</f>
        <v>2.4693472198624796E-3</v>
      </c>
      <c r="T7" s="22">
        <f>O7*_xlfn.NORM.S.DIST(P7,TRUE)</f>
        <v>0.99583453770436925</v>
      </c>
      <c r="U7" s="22">
        <f>O7*(_xlfn.NORM.S.DIST(P7,TRUE)-1)</f>
        <v>-9.8805521856431319E-4</v>
      </c>
      <c r="W7" s="7">
        <f>MAX($H$4-K7,0)</f>
        <v>18.22</v>
      </c>
      <c r="X7" s="23">
        <f>R7-W7</f>
        <v>-5.5423009724293593E-2</v>
      </c>
      <c r="Y7" s="15"/>
    </row>
    <row r="8" spans="2:25" thickTop="1" thickBot="1" x14ac:dyDescent="0.25">
      <c r="B8" s="9">
        <v>60</v>
      </c>
      <c r="C8" s="9" t="s">
        <v>84</v>
      </c>
      <c r="D8" s="17" t="e">
        <v>#N/A</v>
      </c>
      <c r="E8" s="17" t="e">
        <v>#N/A</v>
      </c>
      <c r="F8" s="9">
        <v>67.56</v>
      </c>
      <c r="G8" s="9">
        <v>67.56</v>
      </c>
      <c r="H8" s="17" t="s">
        <v>67</v>
      </c>
      <c r="I8" s="18">
        <v>45834</v>
      </c>
      <c r="J8" s="17">
        <v>0</v>
      </c>
      <c r="K8" s="9">
        <v>21.87</v>
      </c>
      <c r="L8" s="19">
        <f t="shared" ref="L8:L23" si="0">K8/$H$4</f>
        <v>0.60016465422612519</v>
      </c>
      <c r="N8" s="20">
        <f t="shared" ref="N8:N23" si="1">(I8-$K$2)/365</f>
        <v>9.0410958904109592E-2</v>
      </c>
      <c r="O8" s="20">
        <f t="shared" ref="O8:O23" si="2">EXP(-$K$4*N8)</f>
        <v>0.99682259292293351</v>
      </c>
      <c r="P8" s="20">
        <f t="shared" ref="P8:P23" si="3">(LN($H$4/K8)+0.5*(G8/100)^2*N8)/(G8/100*SQRT(N8))</f>
        <v>2.6148411497780475</v>
      </c>
      <c r="Q8" s="20">
        <f t="shared" ref="Q8:Q23" si="4">(LN($H$4/K8)-0.5*(G8/100)^2*N8)/(G8/100*SQRT(N8))</f>
        <v>2.4116989370911157</v>
      </c>
      <c r="R8" s="21">
        <f t="shared" ref="R8:R23" si="5">O8*($H$4*_xlfn.NORM.S.DIST(P8,TRUE)-K8*_xlfn.NORM.S.DIST(Q8,TRUE))</f>
        <v>14.534652395742219</v>
      </c>
      <c r="S8" s="21">
        <f t="shared" ref="S8:S23" si="6">O8*(K8*_xlfn.NORM.S.DIST(-Q8,TRUE)-$H$4*_xlfn.NORM.S.DIST(-P8,TRUE))</f>
        <v>1.0947216855076724E-2</v>
      </c>
      <c r="T8" s="22">
        <f t="shared" ref="T8:T23" si="7">O8*_xlfn.NORM.S.DIST(P8,TRUE)</f>
        <v>0.99237332701386571</v>
      </c>
      <c r="U8" s="22">
        <f t="shared" ref="U8:U23" si="8">O8*(_xlfn.NORM.S.DIST(P8,TRUE)-1)</f>
        <v>-4.4492659090677854E-3</v>
      </c>
      <c r="W8" s="7">
        <f t="shared" ref="W8:W23" si="9">MAX($H$4-K8,0)</f>
        <v>14.569999999999997</v>
      </c>
      <c r="X8" s="23">
        <f t="shared" ref="X8:X23" si="10">R8-W8</f>
        <v>-3.5347604257777832E-2</v>
      </c>
      <c r="Y8" s="15"/>
    </row>
    <row r="9" spans="2:25" thickTop="1" thickBot="1" x14ac:dyDescent="0.25">
      <c r="B9" s="9">
        <v>70</v>
      </c>
      <c r="C9" s="9" t="s">
        <v>85</v>
      </c>
      <c r="D9" s="17" t="e">
        <v>#N/A</v>
      </c>
      <c r="E9" s="17" t="e">
        <v>#N/A</v>
      </c>
      <c r="F9" s="9">
        <v>58.33</v>
      </c>
      <c r="G9" s="9">
        <v>58.33</v>
      </c>
      <c r="H9" s="17" t="s">
        <v>68</v>
      </c>
      <c r="I9" s="18">
        <v>45834</v>
      </c>
      <c r="J9" s="17">
        <v>0</v>
      </c>
      <c r="K9" s="9">
        <v>25.51</v>
      </c>
      <c r="L9" s="19">
        <f t="shared" si="0"/>
        <v>0.70005488474204181</v>
      </c>
      <c r="N9" s="20">
        <f t="shared" si="1"/>
        <v>9.0410958904109592E-2</v>
      </c>
      <c r="O9" s="20">
        <f t="shared" si="2"/>
        <v>0.99682259292293351</v>
      </c>
      <c r="P9" s="20">
        <f t="shared" si="3"/>
        <v>2.1208688312560713</v>
      </c>
      <c r="Q9" s="20">
        <f t="shared" si="4"/>
        <v>1.9454797657435086</v>
      </c>
      <c r="R9" s="21">
        <f t="shared" si="5"/>
        <v>10.936536704097531</v>
      </c>
      <c r="S9" s="21">
        <f t="shared" si="6"/>
        <v>4.1265763449869208E-2</v>
      </c>
      <c r="T9" s="22">
        <f t="shared" si="7"/>
        <v>0.97991008101005561</v>
      </c>
      <c r="U9" s="22">
        <f t="shared" si="8"/>
        <v>-1.6912511912877921E-2</v>
      </c>
      <c r="W9" s="7">
        <f t="shared" si="9"/>
        <v>10.929999999999996</v>
      </c>
      <c r="X9" s="23">
        <f t="shared" si="10"/>
        <v>6.5367040975345958E-3</v>
      </c>
      <c r="Y9" s="15"/>
    </row>
    <row r="10" spans="2:25" thickTop="1" thickBot="1" x14ac:dyDescent="0.25">
      <c r="B10" s="9">
        <v>75</v>
      </c>
      <c r="C10" s="9" t="s">
        <v>86</v>
      </c>
      <c r="D10" s="17" t="e">
        <v>#N/A</v>
      </c>
      <c r="E10" s="17" t="e">
        <v>#N/A</v>
      </c>
      <c r="F10" s="9">
        <v>54.03</v>
      </c>
      <c r="G10" s="9">
        <v>54.04</v>
      </c>
      <c r="H10" s="17" t="s">
        <v>69</v>
      </c>
      <c r="I10" s="18">
        <v>45834</v>
      </c>
      <c r="J10" s="17">
        <v>0</v>
      </c>
      <c r="K10" s="9">
        <v>27.33</v>
      </c>
      <c r="L10" s="19">
        <f t="shared" si="0"/>
        <v>0.75</v>
      </c>
      <c r="N10" s="20">
        <f t="shared" si="1"/>
        <v>9.0410958904109592E-2</v>
      </c>
      <c r="O10" s="20">
        <f t="shared" si="2"/>
        <v>0.99682259292293351</v>
      </c>
      <c r="P10" s="20">
        <f t="shared" si="3"/>
        <v>1.8517081249544689</v>
      </c>
      <c r="Q10" s="20">
        <f t="shared" si="4"/>
        <v>1.6892184095370357</v>
      </c>
      <c r="R10" s="21">
        <f t="shared" si="5"/>
        <v>9.159431308461853</v>
      </c>
      <c r="S10" s="21">
        <f t="shared" si="6"/>
        <v>7.8377486933934398E-2</v>
      </c>
      <c r="T10" s="22">
        <f t="shared" si="7"/>
        <v>0.9648905042450413</v>
      </c>
      <c r="U10" s="22">
        <f t="shared" si="8"/>
        <v>-3.1932088677892205E-2</v>
      </c>
      <c r="W10" s="7">
        <f t="shared" si="9"/>
        <v>9.11</v>
      </c>
      <c r="X10" s="23">
        <f t="shared" si="10"/>
        <v>4.9431308461853618E-2</v>
      </c>
      <c r="Y10" s="15"/>
    </row>
    <row r="11" spans="2:25" thickTop="1" thickBot="1" x14ac:dyDescent="0.25">
      <c r="B11" s="9">
        <v>80</v>
      </c>
      <c r="C11" s="9" t="s">
        <v>87</v>
      </c>
      <c r="D11" s="17" t="e">
        <v>#N/A</v>
      </c>
      <c r="E11" s="17" t="e">
        <v>#N/A</v>
      </c>
      <c r="F11" s="9">
        <v>50.13</v>
      </c>
      <c r="G11" s="9">
        <v>50.13</v>
      </c>
      <c r="H11" s="17" t="s">
        <v>70</v>
      </c>
      <c r="I11" s="18">
        <v>45834</v>
      </c>
      <c r="J11" s="17">
        <v>0</v>
      </c>
      <c r="K11" s="9">
        <v>29.16</v>
      </c>
      <c r="L11" s="19">
        <f t="shared" si="0"/>
        <v>0.80021953896816689</v>
      </c>
      <c r="N11" s="20">
        <f t="shared" si="1"/>
        <v>9.0410958904109592E-2</v>
      </c>
      <c r="O11" s="20">
        <f t="shared" si="2"/>
        <v>0.99682259292293351</v>
      </c>
      <c r="P11" s="20">
        <f t="shared" si="3"/>
        <v>1.5539359852912813</v>
      </c>
      <c r="Q11" s="20">
        <f t="shared" si="4"/>
        <v>1.4032030201936516</v>
      </c>
      <c r="R11" s="21">
        <f t="shared" si="5"/>
        <v>7.4072617554411062</v>
      </c>
      <c r="S11" s="21">
        <f t="shared" si="6"/>
        <v>0.15039327896215071</v>
      </c>
      <c r="T11" s="22">
        <f t="shared" si="7"/>
        <v>0.93691371109987065</v>
      </c>
      <c r="U11" s="22">
        <f t="shared" si="8"/>
        <v>-5.9908881823062872E-2</v>
      </c>
      <c r="W11" s="7">
        <f t="shared" si="9"/>
        <v>7.2799999999999976</v>
      </c>
      <c r="X11" s="23">
        <f t="shared" si="10"/>
        <v>0.12726175544110863</v>
      </c>
    </row>
    <row r="12" spans="2:25" thickTop="1" thickBot="1" x14ac:dyDescent="0.25">
      <c r="B12" s="9">
        <v>85</v>
      </c>
      <c r="C12" s="9" t="s">
        <v>88</v>
      </c>
      <c r="D12" s="17" t="e">
        <v>#N/A</v>
      </c>
      <c r="E12" s="17" t="e">
        <v>#N/A</v>
      </c>
      <c r="F12" s="17">
        <v>46.94</v>
      </c>
      <c r="G12" s="17">
        <v>46.94</v>
      </c>
      <c r="H12" s="17" t="s">
        <v>71</v>
      </c>
      <c r="I12" s="24">
        <v>45834</v>
      </c>
      <c r="J12" s="17">
        <v>0</v>
      </c>
      <c r="K12" s="17">
        <v>30.98</v>
      </c>
      <c r="L12" s="19">
        <f t="shared" si="0"/>
        <v>0.85016465422612519</v>
      </c>
      <c r="N12" s="20">
        <f t="shared" si="1"/>
        <v>9.0410958904109592E-2</v>
      </c>
      <c r="O12" s="20">
        <f t="shared" si="2"/>
        <v>0.99682259292293351</v>
      </c>
      <c r="P12" s="20">
        <f t="shared" si="3"/>
        <v>1.220662149832805</v>
      </c>
      <c r="Q12" s="20">
        <f t="shared" si="4"/>
        <v>1.0795210091648868</v>
      </c>
      <c r="R12" s="21">
        <f t="shared" si="5"/>
        <v>5.7356860798660074</v>
      </c>
      <c r="S12" s="21">
        <f t="shared" si="6"/>
        <v>0.29303472250678936</v>
      </c>
      <c r="T12" s="22">
        <f t="shared" si="7"/>
        <v>0.8860686428681751</v>
      </c>
      <c r="U12" s="22">
        <f t="shared" si="8"/>
        <v>-0.11075395005475845</v>
      </c>
      <c r="W12" s="7">
        <f t="shared" si="9"/>
        <v>5.4599999999999973</v>
      </c>
      <c r="X12" s="23">
        <f t="shared" si="10"/>
        <v>0.27568607986601013</v>
      </c>
    </row>
    <row r="13" spans="2:25" thickTop="1" thickBot="1" x14ac:dyDescent="0.25">
      <c r="B13" s="9">
        <v>90</v>
      </c>
      <c r="C13" s="9" t="s">
        <v>89</v>
      </c>
      <c r="D13" s="17" t="e">
        <v>#N/A</v>
      </c>
      <c r="E13" s="17" t="e">
        <v>#N/A</v>
      </c>
      <c r="F13" s="9">
        <v>44.99</v>
      </c>
      <c r="G13" s="9">
        <v>44.99</v>
      </c>
      <c r="H13" s="17" t="s">
        <v>72</v>
      </c>
      <c r="I13" s="18">
        <v>45834</v>
      </c>
      <c r="J13" s="17">
        <v>0</v>
      </c>
      <c r="K13" s="9">
        <v>32.799999999999997</v>
      </c>
      <c r="L13" s="19">
        <f t="shared" si="0"/>
        <v>0.90010976948408339</v>
      </c>
      <c r="N13" s="20">
        <f t="shared" si="1"/>
        <v>9.0410958904109592E-2</v>
      </c>
      <c r="O13" s="20">
        <f t="shared" si="2"/>
        <v>0.99682259292293351</v>
      </c>
      <c r="P13" s="20">
        <f t="shared" si="3"/>
        <v>0.84558293223352077</v>
      </c>
      <c r="Q13" s="20">
        <f t="shared" si="4"/>
        <v>0.71030513251793403</v>
      </c>
      <c r="R13" s="21">
        <f t="shared" si="5"/>
        <v>4.2101739974634063</v>
      </c>
      <c r="S13" s="21">
        <f t="shared" si="6"/>
        <v>0.58173975922392862</v>
      </c>
      <c r="T13" s="22">
        <f t="shared" si="7"/>
        <v>0.79856183095026689</v>
      </c>
      <c r="U13" s="22">
        <f t="shared" si="8"/>
        <v>-0.19826076197266668</v>
      </c>
      <c r="W13" s="7">
        <f t="shared" si="9"/>
        <v>3.6400000000000006</v>
      </c>
      <c r="X13" s="23">
        <f t="shared" si="10"/>
        <v>0.57017399746340569</v>
      </c>
    </row>
    <row r="14" spans="2:25" thickTop="1" thickBot="1" x14ac:dyDescent="0.25">
      <c r="B14" s="9">
        <v>95</v>
      </c>
      <c r="C14" s="9" t="s">
        <v>90</v>
      </c>
      <c r="D14" s="17" t="e">
        <v>#N/A</v>
      </c>
      <c r="E14" s="17" t="e">
        <v>#N/A</v>
      </c>
      <c r="F14" s="17">
        <v>44.74</v>
      </c>
      <c r="G14" s="17">
        <v>44.74</v>
      </c>
      <c r="H14" s="17" t="s">
        <v>73</v>
      </c>
      <c r="I14" s="24">
        <v>45834</v>
      </c>
      <c r="J14" s="17">
        <v>0</v>
      </c>
      <c r="K14" s="17">
        <v>34.619999999999997</v>
      </c>
      <c r="L14" s="19">
        <f t="shared" si="0"/>
        <v>0.95005488474204169</v>
      </c>
      <c r="N14" s="20">
        <f t="shared" si="1"/>
        <v>9.0410958904109592E-2</v>
      </c>
      <c r="O14" s="20">
        <f t="shared" si="2"/>
        <v>0.99682259292293351</v>
      </c>
      <c r="P14" s="20">
        <f t="shared" si="3"/>
        <v>0.4481224221779353</v>
      </c>
      <c r="Q14" s="20">
        <f t="shared" si="4"/>
        <v>0.31359633284085259</v>
      </c>
      <c r="R14" s="21">
        <f t="shared" si="5"/>
        <v>2.9423162927599362</v>
      </c>
      <c r="S14" s="21">
        <f t="shared" si="6"/>
        <v>1.1280991736401986</v>
      </c>
      <c r="T14" s="22">
        <f t="shared" si="7"/>
        <v>0.67082928469273406</v>
      </c>
      <c r="U14" s="22">
        <f t="shared" si="8"/>
        <v>-0.32599330823019951</v>
      </c>
      <c r="W14" s="7">
        <f t="shared" si="9"/>
        <v>1.8200000000000003</v>
      </c>
      <c r="X14" s="23">
        <f t="shared" si="10"/>
        <v>1.1223162927599359</v>
      </c>
    </row>
    <row r="15" spans="2:25" thickTop="1" thickBot="1" x14ac:dyDescent="0.25">
      <c r="B15" s="9">
        <v>100</v>
      </c>
      <c r="C15" s="9" t="s">
        <v>91</v>
      </c>
      <c r="D15" s="17" t="e">
        <v>#N/A</v>
      </c>
      <c r="E15" s="17" t="e">
        <v>#N/A</v>
      </c>
      <c r="F15" s="9">
        <v>46.07</v>
      </c>
      <c r="G15" s="9">
        <v>46.07</v>
      </c>
      <c r="H15" s="17" t="s">
        <v>74</v>
      </c>
      <c r="I15" s="18">
        <v>45834</v>
      </c>
      <c r="J15" s="17">
        <v>0</v>
      </c>
      <c r="K15" s="9">
        <v>36.44</v>
      </c>
      <c r="L15" s="19">
        <f t="shared" si="0"/>
        <v>1</v>
      </c>
      <c r="N15" s="20">
        <f>(I15-$K$2)/365</f>
        <v>9.0410958904109592E-2</v>
      </c>
      <c r="O15" s="20">
        <f t="shared" si="2"/>
        <v>0.99682259292293351</v>
      </c>
      <c r="P15" s="20">
        <f>(LN($H$4/K15)+0.5*(G15/100)^2*N15)/(G15/100*SQRT(N15))</f>
        <v>6.9262594275362119E-2</v>
      </c>
      <c r="Q15" s="20">
        <f t="shared" si="4"/>
        <v>-6.9262594275362119E-2</v>
      </c>
      <c r="R15" s="21">
        <f t="shared" si="5"/>
        <v>2.0058013863619624</v>
      </c>
      <c r="S15" s="21">
        <f t="shared" si="6"/>
        <v>2.0058013863619624</v>
      </c>
      <c r="T15" s="22">
        <f t="shared" si="7"/>
        <v>0.5259332693808132</v>
      </c>
      <c r="U15" s="22">
        <f t="shared" si="8"/>
        <v>-0.47088932354212037</v>
      </c>
      <c r="W15" s="7">
        <f t="shared" si="9"/>
        <v>0</v>
      </c>
      <c r="X15" s="23">
        <f t="shared" si="10"/>
        <v>2.0058013863619624</v>
      </c>
    </row>
    <row r="16" spans="2:25" thickTop="1" thickBot="1" x14ac:dyDescent="0.25">
      <c r="B16" s="9">
        <v>105</v>
      </c>
      <c r="C16" s="9" t="s">
        <v>92</v>
      </c>
      <c r="D16" s="17" t="e">
        <v>#N/A</v>
      </c>
      <c r="E16" s="17" t="e">
        <v>#N/A</v>
      </c>
      <c r="F16" s="17">
        <v>48.37</v>
      </c>
      <c r="G16" s="17">
        <v>48.37</v>
      </c>
      <c r="H16" s="17" t="s">
        <v>75</v>
      </c>
      <c r="I16" s="24">
        <v>45834</v>
      </c>
      <c r="J16" s="17">
        <v>0</v>
      </c>
      <c r="K16" s="17">
        <v>38.270000000000003</v>
      </c>
      <c r="L16" s="19">
        <f t="shared" si="0"/>
        <v>1.050219538968167</v>
      </c>
      <c r="N16" s="20">
        <f t="shared" si="1"/>
        <v>9.0410958904109592E-2</v>
      </c>
      <c r="O16" s="20">
        <f t="shared" si="2"/>
        <v>0.99682259292293351</v>
      </c>
      <c r="P16" s="20">
        <f t="shared" si="3"/>
        <v>-0.26418077380589883</v>
      </c>
      <c r="Q16" s="20">
        <f t="shared" si="4"/>
        <v>-0.40962169783886021</v>
      </c>
      <c r="R16" s="21">
        <f t="shared" si="5"/>
        <v>1.367665365448395</v>
      </c>
      <c r="S16" s="21">
        <f t="shared" si="6"/>
        <v>3.1918507104973686</v>
      </c>
      <c r="T16" s="22">
        <f t="shared" si="7"/>
        <v>0.39456263035462957</v>
      </c>
      <c r="U16" s="22">
        <f t="shared" si="8"/>
        <v>-0.60225996256830394</v>
      </c>
      <c r="W16" s="7">
        <f t="shared" si="9"/>
        <v>0</v>
      </c>
      <c r="X16" s="23">
        <f t="shared" si="10"/>
        <v>1.367665365448395</v>
      </c>
    </row>
    <row r="17" spans="2:24" thickTop="1" thickBot="1" x14ac:dyDescent="0.25">
      <c r="B17" s="9">
        <v>110</v>
      </c>
      <c r="C17" s="9" t="s">
        <v>93</v>
      </c>
      <c r="D17" s="17" t="e">
        <v>#N/A</v>
      </c>
      <c r="E17" s="17" t="e">
        <v>#N/A</v>
      </c>
      <c r="F17" s="9">
        <v>51.08</v>
      </c>
      <c r="G17" s="9">
        <v>51.09</v>
      </c>
      <c r="H17" s="17" t="s">
        <v>76</v>
      </c>
      <c r="I17" s="18">
        <v>45834</v>
      </c>
      <c r="J17" s="17">
        <v>0</v>
      </c>
      <c r="K17" s="9">
        <v>40.090000000000003</v>
      </c>
      <c r="L17" s="19">
        <f t="shared" si="0"/>
        <v>1.1001646542261252</v>
      </c>
      <c r="N17" s="20">
        <f t="shared" si="1"/>
        <v>9.0410958904109592E-2</v>
      </c>
      <c r="O17" s="20">
        <f t="shared" si="2"/>
        <v>0.99682259292293351</v>
      </c>
      <c r="P17" s="20">
        <f t="shared" si="3"/>
        <v>-0.54459463717574308</v>
      </c>
      <c r="Q17" s="20">
        <f t="shared" si="4"/>
        <v>-0.6982141701268284</v>
      </c>
      <c r="R17" s="21">
        <f t="shared" si="5"/>
        <v>0.95178319654365195</v>
      </c>
      <c r="S17" s="21">
        <f t="shared" si="6"/>
        <v>4.5901856607123683</v>
      </c>
      <c r="T17" s="22">
        <f t="shared" si="7"/>
        <v>0.29208514031186045</v>
      </c>
      <c r="U17" s="22">
        <f t="shared" si="8"/>
        <v>-0.70473745261107301</v>
      </c>
      <c r="W17" s="7">
        <f t="shared" si="9"/>
        <v>0</v>
      </c>
      <c r="X17" s="23">
        <f t="shared" si="10"/>
        <v>0.95178319654365195</v>
      </c>
    </row>
    <row r="18" spans="2:24" thickTop="1" thickBot="1" x14ac:dyDescent="0.25">
      <c r="B18" s="9">
        <v>115</v>
      </c>
      <c r="C18" s="9" t="s">
        <v>94</v>
      </c>
      <c r="D18" s="17" t="e">
        <v>#N/A</v>
      </c>
      <c r="E18" s="17" t="e">
        <v>#N/A</v>
      </c>
      <c r="F18" s="9">
        <v>53.89</v>
      </c>
      <c r="G18" s="9">
        <v>53.89</v>
      </c>
      <c r="H18" s="17" t="s">
        <v>77</v>
      </c>
      <c r="I18" s="18">
        <v>45834</v>
      </c>
      <c r="J18" s="17">
        <v>0</v>
      </c>
      <c r="K18" s="9">
        <v>41.91</v>
      </c>
      <c r="L18" s="19">
        <f t="shared" si="0"/>
        <v>1.1501097694840834</v>
      </c>
      <c r="N18" s="20">
        <f t="shared" si="1"/>
        <v>9.0410958904109592E-2</v>
      </c>
      <c r="O18" s="20">
        <f t="shared" si="2"/>
        <v>0.99682259292293351</v>
      </c>
      <c r="P18" s="20">
        <f t="shared" si="3"/>
        <v>-0.78209174476292065</v>
      </c>
      <c r="Q18" s="20">
        <f t="shared" si="4"/>
        <v>-0.94413043395325125</v>
      </c>
      <c r="R18" s="21">
        <f t="shared" si="5"/>
        <v>0.67661710506415496</v>
      </c>
      <c r="S18" s="21">
        <f t="shared" si="6"/>
        <v>6.1292366883526004</v>
      </c>
      <c r="T18" s="22">
        <f t="shared" si="7"/>
        <v>0.21639057638623124</v>
      </c>
      <c r="U18" s="22">
        <f t="shared" si="8"/>
        <v>-0.78043201653670224</v>
      </c>
      <c r="W18" s="7">
        <f t="shared" si="9"/>
        <v>0</v>
      </c>
      <c r="X18" s="23">
        <f t="shared" si="10"/>
        <v>0.67661710506415496</v>
      </c>
    </row>
    <row r="19" spans="2:24" thickTop="1" thickBot="1" x14ac:dyDescent="0.25">
      <c r="B19" s="9">
        <v>120</v>
      </c>
      <c r="C19" s="9" t="s">
        <v>95</v>
      </c>
      <c r="D19" s="17" t="e">
        <v>#N/A</v>
      </c>
      <c r="E19" s="17" t="e">
        <v>#N/A</v>
      </c>
      <c r="F19" s="9">
        <v>56.64</v>
      </c>
      <c r="G19" s="9">
        <v>56.64</v>
      </c>
      <c r="H19" s="17" t="s">
        <v>78</v>
      </c>
      <c r="I19" s="18">
        <v>45834</v>
      </c>
      <c r="J19" s="17">
        <v>0</v>
      </c>
      <c r="K19" s="9">
        <v>43.73</v>
      </c>
      <c r="L19" s="19">
        <f t="shared" si="0"/>
        <v>1.2000548847420418</v>
      </c>
      <c r="N19" s="20">
        <f t="shared" si="1"/>
        <v>9.0410958904109592E-2</v>
      </c>
      <c r="O19" s="20">
        <f t="shared" si="2"/>
        <v>0.99682259292293351</v>
      </c>
      <c r="P19" s="20">
        <f t="shared" si="3"/>
        <v>-0.9856581000718263</v>
      </c>
      <c r="Q19" s="20">
        <f t="shared" si="4"/>
        <v>-1.1559656034257013</v>
      </c>
      <c r="R19" s="21">
        <f t="shared" si="5"/>
        <v>0.4913404126315753</v>
      </c>
      <c r="S19" s="21">
        <f t="shared" si="6"/>
        <v>7.7581771150397589</v>
      </c>
      <c r="T19" s="22">
        <f t="shared" si="7"/>
        <v>0.16163524046866024</v>
      </c>
      <c r="U19" s="22">
        <f t="shared" si="8"/>
        <v>-0.83518735245427322</v>
      </c>
      <c r="W19" s="7">
        <f t="shared" si="9"/>
        <v>0</v>
      </c>
      <c r="X19" s="23">
        <f t="shared" si="10"/>
        <v>0.4913404126315753</v>
      </c>
    </row>
    <row r="20" spans="2:24" thickTop="1" thickBot="1" x14ac:dyDescent="0.25">
      <c r="B20" s="9">
        <v>125</v>
      </c>
      <c r="C20" s="9" t="s">
        <v>96</v>
      </c>
      <c r="D20" s="17" t="e">
        <v>#N/A</v>
      </c>
      <c r="E20" s="17" t="e">
        <v>#N/A</v>
      </c>
      <c r="F20" s="17">
        <v>59.27</v>
      </c>
      <c r="G20" s="17">
        <v>59.27</v>
      </c>
      <c r="H20" s="17" t="s">
        <v>79</v>
      </c>
      <c r="I20" s="24">
        <v>45834</v>
      </c>
      <c r="J20" s="17">
        <v>0</v>
      </c>
      <c r="K20" s="17">
        <v>45.55</v>
      </c>
      <c r="L20" s="19">
        <f t="shared" si="0"/>
        <v>1.25</v>
      </c>
      <c r="N20" s="20">
        <f t="shared" si="1"/>
        <v>9.0410958904109592E-2</v>
      </c>
      <c r="O20" s="20">
        <f t="shared" si="2"/>
        <v>0.99682259292293351</v>
      </c>
      <c r="P20" s="20">
        <f t="shared" si="3"/>
        <v>-1.1629918482981507</v>
      </c>
      <c r="Q20" s="20">
        <f t="shared" si="4"/>
        <v>-1.3412073448338881</v>
      </c>
      <c r="R20" s="21">
        <f t="shared" si="5"/>
        <v>0.36353968182102769</v>
      </c>
      <c r="S20" s="21">
        <f t="shared" si="6"/>
        <v>9.4445935033489512</v>
      </c>
      <c r="T20" s="22">
        <f t="shared" si="7"/>
        <v>0.12202743814872721</v>
      </c>
      <c r="U20" s="22">
        <f t="shared" si="8"/>
        <v>-0.87479515477420633</v>
      </c>
      <c r="W20" s="7">
        <f t="shared" si="9"/>
        <v>0</v>
      </c>
      <c r="X20" s="23">
        <f t="shared" si="10"/>
        <v>0.36353968182102769</v>
      </c>
    </row>
    <row r="21" spans="2:24" thickTop="1" thickBot="1" x14ac:dyDescent="0.25">
      <c r="B21" s="9">
        <v>130</v>
      </c>
      <c r="C21" s="9" t="s">
        <v>97</v>
      </c>
      <c r="D21" s="17" t="e">
        <v>#N/A</v>
      </c>
      <c r="E21" s="17" t="e">
        <v>#N/A</v>
      </c>
      <c r="F21" s="9">
        <v>61.77</v>
      </c>
      <c r="G21" s="9">
        <v>61.77</v>
      </c>
      <c r="H21" s="17" t="s">
        <v>80</v>
      </c>
      <c r="I21" s="18">
        <v>45834</v>
      </c>
      <c r="J21" s="17">
        <v>0</v>
      </c>
      <c r="K21" s="9">
        <v>47.38</v>
      </c>
      <c r="L21" s="19">
        <f t="shared" si="0"/>
        <v>1.300219538968167</v>
      </c>
      <c r="N21" s="20">
        <f t="shared" si="1"/>
        <v>9.0410958904109592E-2</v>
      </c>
      <c r="O21" s="20">
        <f t="shared" si="2"/>
        <v>0.99682259292293351</v>
      </c>
      <c r="P21" s="20">
        <f t="shared" si="3"/>
        <v>-1.3206342155566275</v>
      </c>
      <c r="Q21" s="20">
        <f t="shared" si="4"/>
        <v>-1.5063668158774053</v>
      </c>
      <c r="R21" s="21">
        <f t="shared" si="5"/>
        <v>0.2729663149100176</v>
      </c>
      <c r="S21" s="21">
        <f t="shared" si="6"/>
        <v>11.178205481486907</v>
      </c>
      <c r="T21" s="22">
        <f t="shared" si="7"/>
        <v>9.3015190046379911E-2</v>
      </c>
      <c r="U21" s="22">
        <f t="shared" si="8"/>
        <v>-0.9038074028765537</v>
      </c>
      <c r="W21" s="7">
        <f t="shared" si="9"/>
        <v>0</v>
      </c>
      <c r="X21" s="23">
        <f t="shared" si="10"/>
        <v>0.2729663149100176</v>
      </c>
    </row>
    <row r="22" spans="2:24" thickTop="1" thickBot="1" x14ac:dyDescent="0.25">
      <c r="B22" s="9">
        <v>140</v>
      </c>
      <c r="C22" s="9" t="s">
        <v>98</v>
      </c>
      <c r="D22" s="17" t="e">
        <v>#N/A</v>
      </c>
      <c r="E22" s="17" t="e">
        <v>#N/A</v>
      </c>
      <c r="F22" s="9">
        <v>66.34</v>
      </c>
      <c r="G22" s="9">
        <v>66.34</v>
      </c>
      <c r="H22" s="17" t="s">
        <v>81</v>
      </c>
      <c r="I22" s="18">
        <v>45834</v>
      </c>
      <c r="J22" s="17">
        <v>0</v>
      </c>
      <c r="K22" s="9">
        <v>51.02</v>
      </c>
      <c r="L22" s="19">
        <f t="shared" si="0"/>
        <v>1.4001097694840836</v>
      </c>
      <c r="N22" s="20">
        <f t="shared" si="1"/>
        <v>9.0410958904109592E-2</v>
      </c>
      <c r="O22" s="20">
        <f t="shared" si="2"/>
        <v>0.99682259292293351</v>
      </c>
      <c r="P22" s="20">
        <f t="shared" si="3"/>
        <v>-1.5874547127002521</v>
      </c>
      <c r="Q22" s="20">
        <f t="shared" si="4"/>
        <v>-1.7869285787400837</v>
      </c>
      <c r="R22" s="21">
        <f t="shared" si="5"/>
        <v>0.16115116185434841</v>
      </c>
      <c r="S22" s="21">
        <f t="shared" si="6"/>
        <v>14.694824566670727</v>
      </c>
      <c r="T22" s="22">
        <f t="shared" si="7"/>
        <v>5.6026262367768996E-2</v>
      </c>
      <c r="U22" s="22">
        <f t="shared" si="8"/>
        <v>-0.94079633055516443</v>
      </c>
      <c r="W22" s="7">
        <f t="shared" si="9"/>
        <v>0</v>
      </c>
      <c r="X22" s="23">
        <f t="shared" si="10"/>
        <v>0.16115116185434841</v>
      </c>
    </row>
    <row r="23" spans="2:24" thickTop="1" thickBot="1" x14ac:dyDescent="0.25">
      <c r="B23" s="9">
        <v>150</v>
      </c>
      <c r="C23" s="9" t="s">
        <v>99</v>
      </c>
      <c r="D23" s="17" t="e">
        <v>#N/A</v>
      </c>
      <c r="E23" s="17" t="e">
        <v>#N/A</v>
      </c>
      <c r="F23" s="9">
        <v>70.430000000000007</v>
      </c>
      <c r="G23" s="9">
        <v>70.430000000000007</v>
      </c>
      <c r="H23" s="17" t="s">
        <v>82</v>
      </c>
      <c r="I23" s="18">
        <v>45834</v>
      </c>
      <c r="J23" s="17">
        <v>0</v>
      </c>
      <c r="K23" s="9">
        <v>54.67</v>
      </c>
      <c r="L23" s="19">
        <f t="shared" si="0"/>
        <v>1.5002744237102088</v>
      </c>
      <c r="N23" s="20">
        <f t="shared" si="1"/>
        <v>9.0410958904109592E-2</v>
      </c>
      <c r="O23" s="20">
        <f t="shared" si="2"/>
        <v>0.99682259292293351</v>
      </c>
      <c r="P23" s="20">
        <f t="shared" si="3"/>
        <v>-1.8096096656424139</v>
      </c>
      <c r="Q23" s="20">
        <f t="shared" si="4"/>
        <v>-2.0213815134745716</v>
      </c>
      <c r="R23" s="21">
        <f t="shared" si="5"/>
        <v>9.9601787855401497E-2</v>
      </c>
      <c r="S23" s="21">
        <f t="shared" si="6"/>
        <v>18.271677656840488</v>
      </c>
      <c r="T23" s="22">
        <f t="shared" si="7"/>
        <v>3.5066394614230618E-2</v>
      </c>
      <c r="U23" s="22">
        <f t="shared" si="8"/>
        <v>-0.96175619830870296</v>
      </c>
      <c r="W23" s="7">
        <f t="shared" si="9"/>
        <v>0</v>
      </c>
      <c r="X23" s="23">
        <f t="shared" si="10"/>
        <v>9.9601787855401497E-2</v>
      </c>
    </row>
    <row r="26" spans="2:24" thickTop="1" thickBot="1" x14ac:dyDescent="0.25">
      <c r="B26" s="7" t="s">
        <v>45</v>
      </c>
      <c r="C26" s="7" t="s">
        <v>46</v>
      </c>
      <c r="L26" s="11"/>
    </row>
    <row r="27" spans="2:24" thickTop="1" thickBot="1" x14ac:dyDescent="0.25">
      <c r="C27" s="7" t="s">
        <v>47</v>
      </c>
      <c r="L27" s="11"/>
    </row>
    <row r="28" spans="2:24" thickTop="1" thickBot="1" x14ac:dyDescent="0.25">
      <c r="L28" s="11"/>
    </row>
    <row r="29" spans="2:24" thickTop="1" thickBot="1" x14ac:dyDescent="0.25">
      <c r="L29" s="11"/>
    </row>
    <row r="30" spans="2:24" thickTop="1" thickBot="1" x14ac:dyDescent="0.25">
      <c r="L30" s="11"/>
    </row>
    <row r="31" spans="2:24" thickTop="1" thickBot="1" x14ac:dyDescent="0.25">
      <c r="C31" s="7" t="s">
        <v>48</v>
      </c>
      <c r="L31" s="11"/>
    </row>
    <row r="32" spans="2:24" thickTop="1" thickBot="1" x14ac:dyDescent="0.25">
      <c r="L32" s="11"/>
    </row>
    <row r="33" spans="12:12" thickTop="1" thickBot="1" x14ac:dyDescent="0.25">
      <c r="L33" s="11"/>
    </row>
    <row r="34" spans="12:12" thickTop="1" thickBot="1" x14ac:dyDescent="0.25">
      <c r="L34" s="11"/>
    </row>
    <row r="35" spans="12:12" thickTop="1" thickBot="1" x14ac:dyDescent="0.25">
      <c r="L35" s="11"/>
    </row>
    <row r="36" spans="12:12" thickTop="1" thickBot="1" x14ac:dyDescent="0.25">
      <c r="L36" s="11"/>
    </row>
    <row r="37" spans="12:12" thickTop="1" thickBot="1" x14ac:dyDescent="0.25">
      <c r="L37" s="11"/>
    </row>
    <row r="38" spans="12:12" thickTop="1" thickBot="1" x14ac:dyDescent="0.25">
      <c r="L38" s="11"/>
    </row>
    <row r="39" spans="12:12" thickTop="1" thickBot="1" x14ac:dyDescent="0.25">
      <c r="L39" s="11"/>
    </row>
    <row r="40" spans="12:12" thickTop="1" thickBot="1" x14ac:dyDescent="0.25">
      <c r="L40" s="11"/>
    </row>
    <row r="41" spans="12:12" thickTop="1" thickBot="1" x14ac:dyDescent="0.25">
      <c r="L41" s="11"/>
    </row>
    <row r="42" spans="12:12" thickTop="1" thickBot="1" x14ac:dyDescent="0.25">
      <c r="L42" s="11"/>
    </row>
    <row r="43" spans="12:12" thickTop="1" thickBot="1" x14ac:dyDescent="0.25">
      <c r="L4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Y43"/>
  <sheetViews>
    <sheetView topLeftCell="H2" zoomScale="117" workbookViewId="0">
      <selection activeCell="S7" sqref="S7"/>
    </sheetView>
  </sheetViews>
  <sheetFormatPr baseColWidth="10" defaultColWidth="9.1796875" defaultRowHeight="11" thickTop="1" thickBottom="1" x14ac:dyDescent="0.25"/>
  <cols>
    <col min="1" max="1" width="9.1796875" style="7"/>
    <col min="2" max="2" width="12.7265625" style="7" customWidth="1"/>
    <col min="3" max="3" width="20.7265625" style="7" customWidth="1"/>
    <col min="4" max="4" width="5.7265625" style="7" bestFit="1" customWidth="1"/>
    <col min="5" max="5" width="5.81640625" style="7" customWidth="1"/>
    <col min="6" max="6" width="5.1796875" style="7" bestFit="1" customWidth="1"/>
    <col min="7" max="7" width="11.453125" style="7" customWidth="1"/>
    <col min="8" max="8" width="18.1796875" style="7" customWidth="1"/>
    <col min="9" max="9" width="10.1796875" style="7" customWidth="1"/>
    <col min="10" max="10" width="11.453125" style="7" customWidth="1"/>
    <col min="11" max="11" width="12" style="7" customWidth="1"/>
    <col min="12" max="12" width="6.26953125" style="7" customWidth="1"/>
    <col min="13" max="13" width="9.1796875" style="7"/>
    <col min="14" max="15" width="9.1796875" style="11"/>
    <col min="16" max="17" width="6.26953125" style="11" bestFit="1" customWidth="1"/>
    <col min="18" max="18" width="9.1796875" style="7"/>
    <col min="19" max="19" width="10" style="7" bestFit="1" customWidth="1"/>
    <col min="20" max="16384" width="9.1796875" style="7"/>
  </cols>
  <sheetData>
    <row r="2" spans="2:25" s="2" customFormat="1" ht="14" thickTop="1" thickBot="1" x14ac:dyDescent="0.35">
      <c r="B2" s="1" t="s">
        <v>0</v>
      </c>
      <c r="G2" s="3" t="s">
        <v>1</v>
      </c>
      <c r="H2" s="4" t="s">
        <v>2</v>
      </c>
      <c r="J2" s="3" t="s">
        <v>3</v>
      </c>
      <c r="K2" s="5">
        <v>45801</v>
      </c>
      <c r="N2" s="6"/>
      <c r="O2" s="6"/>
      <c r="P2" s="6"/>
      <c r="Q2" s="6"/>
    </row>
    <row r="3" spans="2:25" s="2" customFormat="1" ht="13.5" thickTop="1" thickBot="1" x14ac:dyDescent="0.3">
      <c r="J3" s="6"/>
      <c r="N3" s="6"/>
      <c r="O3" s="6"/>
      <c r="P3" s="6"/>
      <c r="Q3" s="6"/>
    </row>
    <row r="4" spans="2:25" thickTop="1" thickBot="1" x14ac:dyDescent="0.25">
      <c r="D4" s="3" t="s">
        <v>4</v>
      </c>
      <c r="E4" s="8">
        <v>45992</v>
      </c>
      <c r="G4" s="3" t="s">
        <v>5</v>
      </c>
      <c r="H4" s="9">
        <f>K15</f>
        <v>37.909999999999997</v>
      </c>
      <c r="J4" s="3" t="s">
        <v>6</v>
      </c>
      <c r="K4" s="10">
        <v>3.5200000000000002E-2</v>
      </c>
    </row>
    <row r="5" spans="2:25" ht="11.5" thickTop="1" thickBot="1" x14ac:dyDescent="0.3">
      <c r="N5" s="12" t="s">
        <v>7</v>
      </c>
    </row>
    <row r="6" spans="2:25" s="15" customFormat="1" ht="22" thickTop="1" thickBot="1" x14ac:dyDescent="0.3">
      <c r="B6" s="13" t="s">
        <v>8</v>
      </c>
      <c r="C6" s="14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3" t="s">
        <v>14</v>
      </c>
      <c r="I6" s="13" t="s">
        <v>15</v>
      </c>
      <c r="J6" s="13" t="s">
        <v>16</v>
      </c>
      <c r="K6" s="13" t="s">
        <v>17</v>
      </c>
      <c r="N6" s="13" t="s">
        <v>18</v>
      </c>
      <c r="O6" s="13" t="s">
        <v>19</v>
      </c>
      <c r="P6" s="13" t="s">
        <v>20</v>
      </c>
      <c r="Q6" s="13" t="s">
        <v>21</v>
      </c>
      <c r="R6" s="13" t="s">
        <v>22</v>
      </c>
      <c r="S6" s="13" t="s">
        <v>23</v>
      </c>
      <c r="T6" s="16" t="s">
        <v>24</v>
      </c>
      <c r="U6" s="16" t="s">
        <v>25</v>
      </c>
      <c r="W6" s="15" t="s">
        <v>26</v>
      </c>
      <c r="X6" s="15" t="s">
        <v>27</v>
      </c>
    </row>
    <row r="7" spans="2:25" thickTop="1" thickBot="1" x14ac:dyDescent="0.25">
      <c r="B7" s="9">
        <v>50</v>
      </c>
      <c r="C7" s="9" t="s">
        <v>49</v>
      </c>
      <c r="D7" s="17" t="e">
        <v>#N/A</v>
      </c>
      <c r="E7" s="17" t="e">
        <v>#N/A</v>
      </c>
      <c r="F7" s="9">
        <v>58.98</v>
      </c>
      <c r="G7" s="9">
        <v>58.98</v>
      </c>
      <c r="H7" s="17" t="s">
        <v>28</v>
      </c>
      <c r="I7" s="18">
        <v>45987</v>
      </c>
      <c r="J7" s="17">
        <v>0</v>
      </c>
      <c r="K7" s="9">
        <v>18.96</v>
      </c>
      <c r="L7" s="19">
        <f>K7/$H$4</f>
        <v>0.50013189132155111</v>
      </c>
      <c r="N7" s="20">
        <f>(I7-$K$2)/365</f>
        <v>0.50958904109589043</v>
      </c>
      <c r="O7" s="20">
        <f>EXP(-$K$4*N7)</f>
        <v>0.98222238570339282</v>
      </c>
      <c r="P7" s="20">
        <f>(LN($H$4/K7)+0.5*(G7/100)^2*N7)/(G7/100*SQRT(N7))</f>
        <v>1.8561957723608051</v>
      </c>
      <c r="Q7" s="20">
        <f>(LN($H$4/K7)-0.5*(G7/100)^2*N7)/(G7/100*SQRT(N7))</f>
        <v>1.4351640602827929</v>
      </c>
      <c r="R7" s="21">
        <f>O7*($H$4*_xlfn.NORM.S.DIST(P7,TRUE)-K7*_xlfn.NORM.S.DIST(Q7,TRUE))</f>
        <v>18.840523427562982</v>
      </c>
      <c r="S7" s="21">
        <f>O7*(K7*_xlfn.NORM.S.DIST(-Q7,TRUE)-$H$4*_xlfn.NORM.S.DIST(-P7,TRUE))</f>
        <v>0.22740921848369178</v>
      </c>
      <c r="T7" s="22">
        <f>O7*_xlfn.NORM.S.DIST(P7,TRUE)</f>
        <v>0.95107333491019608</v>
      </c>
      <c r="U7" s="22">
        <f>O7*(_xlfn.NORM.S.DIST(P7,TRUE)-1)</f>
        <v>-3.1149050793196693E-2</v>
      </c>
      <c r="W7" s="7">
        <f>MAX($H$4-K7,0)</f>
        <v>18.949999999999996</v>
      </c>
      <c r="X7" s="23">
        <f>R7-W7</f>
        <v>-0.10947657243701414</v>
      </c>
      <c r="Y7" s="15"/>
    </row>
    <row r="8" spans="2:25" thickTop="1" thickBot="1" x14ac:dyDescent="0.25">
      <c r="B8" s="9">
        <v>60</v>
      </c>
      <c r="C8" s="9" t="s">
        <v>50</v>
      </c>
      <c r="D8" s="17" t="e">
        <v>#N/A</v>
      </c>
      <c r="E8" s="17" t="e">
        <v>#N/A</v>
      </c>
      <c r="F8" s="9">
        <v>53.79</v>
      </c>
      <c r="G8" s="9">
        <v>53.79</v>
      </c>
      <c r="H8" s="17" t="s">
        <v>29</v>
      </c>
      <c r="I8" s="18">
        <v>45987</v>
      </c>
      <c r="J8" s="17">
        <v>0</v>
      </c>
      <c r="K8" s="9">
        <v>22.75</v>
      </c>
      <c r="L8" s="19">
        <f t="shared" ref="L8:L23" si="0">K8/$H$4</f>
        <v>0.60010551305724091</v>
      </c>
      <c r="N8" s="20">
        <f t="shared" ref="N8:N23" si="1">(I8-$K$2)/365</f>
        <v>0.50958904109589043</v>
      </c>
      <c r="O8" s="20">
        <f t="shared" ref="O8:O23" si="2">EXP(-$K$4*N8)</f>
        <v>0.98222238570339282</v>
      </c>
      <c r="P8" s="20">
        <f t="shared" ref="P8:P23" si="3">(LN($H$4/K8)+0.5*(G8/100)^2*N8)/(G8/100*SQRT(N8))</f>
        <v>1.5218686035128923</v>
      </c>
      <c r="Q8" s="20">
        <f t="shared" ref="Q8:Q23" si="4">(LN($H$4/K8)-0.5*(G8/100)^2*N8)/(G8/100*SQRT(N8))</f>
        <v>1.13788596884561</v>
      </c>
      <c r="R8" s="21">
        <f t="shared" ref="R8:R23" si="5">O8*($H$4*_xlfn.NORM.S.DIST(P8,TRUE)-K8*_xlfn.NORM.S.DIST(Q8,TRUE))</f>
        <v>15.357538992293764</v>
      </c>
      <c r="S8" s="21">
        <f t="shared" ref="S8:S23" si="6">O8*(K8*_xlfn.NORM.S.DIST(-Q8,TRUE)-$H$4*_xlfn.NORM.S.DIST(-P8,TRUE))</f>
        <v>0.4670476250303342</v>
      </c>
      <c r="T8" s="22">
        <f t="shared" ref="T8:T23" si="7">O8*_xlfn.NORM.S.DIST(P8,TRUE)</f>
        <v>0.91933952268331431</v>
      </c>
      <c r="U8" s="22">
        <f t="shared" ref="U8:U23" si="8">O8*(_xlfn.NORM.S.DIST(P8,TRUE)-1)</f>
        <v>-6.2882863020078547E-2</v>
      </c>
      <c r="W8" s="7">
        <f t="shared" ref="W8:W23" si="9">MAX($H$4-K8,0)</f>
        <v>15.159999999999997</v>
      </c>
      <c r="X8" s="23">
        <f t="shared" ref="X8:X23" si="10">R8-W8</f>
        <v>0.19753899229376692</v>
      </c>
      <c r="Y8" s="15"/>
    </row>
    <row r="9" spans="2:25" thickTop="1" thickBot="1" x14ac:dyDescent="0.25">
      <c r="B9" s="9">
        <v>70</v>
      </c>
      <c r="C9" s="9" t="s">
        <v>51</v>
      </c>
      <c r="D9" s="17" t="e">
        <v>#N/A</v>
      </c>
      <c r="E9" s="17" t="e">
        <v>#N/A</v>
      </c>
      <c r="F9" s="9">
        <v>50.53</v>
      </c>
      <c r="G9" s="9">
        <v>50.53</v>
      </c>
      <c r="H9" s="17" t="s">
        <v>30</v>
      </c>
      <c r="I9" s="18">
        <v>45987</v>
      </c>
      <c r="J9" s="17">
        <v>0</v>
      </c>
      <c r="K9" s="9">
        <v>26.54</v>
      </c>
      <c r="L9" s="19">
        <f t="shared" si="0"/>
        <v>0.70007913479293071</v>
      </c>
      <c r="N9" s="20">
        <f t="shared" si="1"/>
        <v>0.50958904109589043</v>
      </c>
      <c r="O9" s="20">
        <f t="shared" si="2"/>
        <v>0.98222238570339282</v>
      </c>
      <c r="P9" s="20">
        <f t="shared" si="3"/>
        <v>1.1688530314864409</v>
      </c>
      <c r="Q9" s="20">
        <f t="shared" si="4"/>
        <v>0.8081420716474792</v>
      </c>
      <c r="R9" s="21">
        <f t="shared" si="5"/>
        <v>12.115087910993971</v>
      </c>
      <c r="S9" s="21">
        <f t="shared" si="6"/>
        <v>0.9472193855463954</v>
      </c>
      <c r="T9" s="22">
        <f t="shared" si="7"/>
        <v>0.86314616632629726</v>
      </c>
      <c r="U9" s="22">
        <f t="shared" si="8"/>
        <v>-0.11907621937709553</v>
      </c>
      <c r="W9" s="7">
        <f t="shared" si="9"/>
        <v>11.369999999999997</v>
      </c>
      <c r="X9" s="23">
        <f t="shared" si="10"/>
        <v>0.74508791099397342</v>
      </c>
      <c r="Y9" s="15"/>
    </row>
    <row r="10" spans="2:25" thickTop="1" thickBot="1" x14ac:dyDescent="0.25">
      <c r="B10" s="9">
        <v>75</v>
      </c>
      <c r="C10" s="9" t="s">
        <v>52</v>
      </c>
      <c r="D10" s="17" t="e">
        <v>#N/A</v>
      </c>
      <c r="E10" s="17" t="e">
        <v>#N/A</v>
      </c>
      <c r="F10" s="9">
        <v>49.77</v>
      </c>
      <c r="G10" s="9">
        <v>49.77</v>
      </c>
      <c r="H10" s="17" t="s">
        <v>31</v>
      </c>
      <c r="I10" s="18">
        <v>45987</v>
      </c>
      <c r="J10" s="17">
        <v>0</v>
      </c>
      <c r="K10" s="9">
        <v>28.43</v>
      </c>
      <c r="L10" s="19">
        <f t="shared" si="0"/>
        <v>0.74993405433922455</v>
      </c>
      <c r="N10" s="20">
        <f t="shared" si="1"/>
        <v>0.50958904109589043</v>
      </c>
      <c r="O10" s="20">
        <f t="shared" si="2"/>
        <v>0.98222238570339282</v>
      </c>
      <c r="P10" s="20">
        <f t="shared" si="3"/>
        <v>0.98761079485406067</v>
      </c>
      <c r="Q10" s="20">
        <f t="shared" si="4"/>
        <v>0.6323251334413329</v>
      </c>
      <c r="R10" s="21">
        <f t="shared" si="5"/>
        <v>10.65201761829352</v>
      </c>
      <c r="S10" s="21">
        <f t="shared" si="6"/>
        <v>1.3405494018253623</v>
      </c>
      <c r="T10" s="22">
        <f t="shared" si="7"/>
        <v>0.82342487318257629</v>
      </c>
      <c r="U10" s="22">
        <f t="shared" si="8"/>
        <v>-0.15879751252081656</v>
      </c>
      <c r="W10" s="7">
        <f t="shared" si="9"/>
        <v>9.4799999999999969</v>
      </c>
      <c r="X10" s="23">
        <f t="shared" si="10"/>
        <v>1.1720176182935234</v>
      </c>
      <c r="Y10" s="15"/>
    </row>
    <row r="11" spans="2:25" thickTop="1" thickBot="1" x14ac:dyDescent="0.25">
      <c r="B11" s="9">
        <v>80</v>
      </c>
      <c r="C11" s="9" t="s">
        <v>53</v>
      </c>
      <c r="D11" s="17" t="e">
        <v>#N/A</v>
      </c>
      <c r="E11" s="17" t="e">
        <v>#N/A</v>
      </c>
      <c r="F11" s="9">
        <v>49.56</v>
      </c>
      <c r="G11" s="9">
        <v>49.56</v>
      </c>
      <c r="H11" s="17" t="s">
        <v>32</v>
      </c>
      <c r="I11" s="18">
        <v>45987</v>
      </c>
      <c r="J11" s="17">
        <v>0</v>
      </c>
      <c r="K11" s="9">
        <v>30.33</v>
      </c>
      <c r="L11" s="19">
        <f t="shared" si="0"/>
        <v>0.8000527565286204</v>
      </c>
      <c r="N11" s="20">
        <f t="shared" si="1"/>
        <v>0.50958904109589043</v>
      </c>
      <c r="O11" s="20">
        <f t="shared" si="2"/>
        <v>0.98222238570339282</v>
      </c>
      <c r="P11" s="20">
        <f t="shared" si="3"/>
        <v>0.80743618473576972</v>
      </c>
      <c r="Q11" s="20">
        <f t="shared" si="4"/>
        <v>0.45364961894081712</v>
      </c>
      <c r="R11" s="21">
        <f t="shared" si="5"/>
        <v>9.3197810194804358</v>
      </c>
      <c r="S11" s="21">
        <f t="shared" si="6"/>
        <v>1.8745353358487153</v>
      </c>
      <c r="T11" s="22">
        <f t="shared" si="7"/>
        <v>0.7762428733993274</v>
      </c>
      <c r="U11" s="22">
        <f t="shared" si="8"/>
        <v>-0.20597951230406542</v>
      </c>
      <c r="W11" s="7">
        <f t="shared" si="9"/>
        <v>7.5799999999999983</v>
      </c>
      <c r="X11" s="23">
        <f t="shared" si="10"/>
        <v>1.7397810194804375</v>
      </c>
    </row>
    <row r="12" spans="2:25" thickTop="1" thickBot="1" x14ac:dyDescent="0.25">
      <c r="B12" s="9">
        <v>85</v>
      </c>
      <c r="C12" s="9" t="s">
        <v>54</v>
      </c>
      <c r="D12" s="17" t="e">
        <v>#N/A</v>
      </c>
      <c r="E12" s="17" t="e">
        <v>#N/A</v>
      </c>
      <c r="F12" s="17">
        <v>49.77</v>
      </c>
      <c r="G12" s="17">
        <v>49.78</v>
      </c>
      <c r="H12" s="17" t="s">
        <v>33</v>
      </c>
      <c r="I12" s="24">
        <v>45987</v>
      </c>
      <c r="J12" s="17">
        <v>0</v>
      </c>
      <c r="K12" s="17">
        <v>32.22</v>
      </c>
      <c r="L12" s="19">
        <f t="shared" si="0"/>
        <v>0.84990767607491435</v>
      </c>
      <c r="N12" s="20">
        <f t="shared" si="1"/>
        <v>0.50958904109589043</v>
      </c>
      <c r="O12" s="20">
        <f t="shared" si="2"/>
        <v>0.98222238570339282</v>
      </c>
      <c r="P12" s="20">
        <f t="shared" si="3"/>
        <v>0.63532401885520584</v>
      </c>
      <c r="Q12" s="20">
        <f t="shared" si="4"/>
        <v>0.27996697193686976</v>
      </c>
      <c r="R12" s="21">
        <f t="shared" si="5"/>
        <v>8.1448831556948775</v>
      </c>
      <c r="S12" s="21">
        <f t="shared" si="6"/>
        <v>2.5560377810425763</v>
      </c>
      <c r="T12" s="22">
        <f t="shared" si="7"/>
        <v>0.72428238351503238</v>
      </c>
      <c r="U12" s="22">
        <f t="shared" si="8"/>
        <v>-0.2579400021883605</v>
      </c>
      <c r="W12" s="7">
        <f t="shared" si="9"/>
        <v>5.6899999999999977</v>
      </c>
      <c r="X12" s="23">
        <f t="shared" si="10"/>
        <v>2.4548831556948798</v>
      </c>
    </row>
    <row r="13" spans="2:25" thickTop="1" thickBot="1" x14ac:dyDescent="0.25">
      <c r="B13" s="9">
        <v>90</v>
      </c>
      <c r="C13" s="9" t="s">
        <v>55</v>
      </c>
      <c r="D13" s="17" t="e">
        <v>#N/A</v>
      </c>
      <c r="E13" s="17" t="e">
        <v>#N/A</v>
      </c>
      <c r="F13" s="9">
        <v>50.29</v>
      </c>
      <c r="G13" s="9">
        <v>50.29</v>
      </c>
      <c r="H13" s="17" t="s">
        <v>34</v>
      </c>
      <c r="I13" s="18">
        <v>45987</v>
      </c>
      <c r="J13" s="17">
        <v>0</v>
      </c>
      <c r="K13" s="9">
        <v>34.119999999999997</v>
      </c>
      <c r="L13" s="19">
        <f t="shared" si="0"/>
        <v>0.9000263782643102</v>
      </c>
      <c r="N13" s="20">
        <f t="shared" si="1"/>
        <v>0.50958904109589043</v>
      </c>
      <c r="O13" s="20">
        <f t="shared" si="2"/>
        <v>0.98222238570339282</v>
      </c>
      <c r="P13" s="20">
        <f t="shared" si="3"/>
        <v>0.47290241784236231</v>
      </c>
      <c r="Q13" s="20">
        <f t="shared" si="4"/>
        <v>0.11390471013800064</v>
      </c>
      <c r="R13" s="21">
        <f t="shared" si="5"/>
        <v>7.1133969076145851</v>
      </c>
      <c r="S13" s="21">
        <f t="shared" si="6"/>
        <v>3.3907740657987269</v>
      </c>
      <c r="T13" s="22">
        <f t="shared" si="7"/>
        <v>0.66973678086563249</v>
      </c>
      <c r="U13" s="22">
        <f t="shared" si="8"/>
        <v>-0.31248560483776033</v>
      </c>
      <c r="W13" s="7">
        <f t="shared" si="9"/>
        <v>3.7899999999999991</v>
      </c>
      <c r="X13" s="23">
        <f t="shared" si="10"/>
        <v>3.3233969076145859</v>
      </c>
    </row>
    <row r="14" spans="2:25" thickTop="1" thickBot="1" x14ac:dyDescent="0.25">
      <c r="B14" s="9">
        <v>95</v>
      </c>
      <c r="C14" s="9" t="s">
        <v>56</v>
      </c>
      <c r="D14" s="17" t="e">
        <v>#N/A</v>
      </c>
      <c r="E14" s="17" t="e">
        <v>#N/A</v>
      </c>
      <c r="F14" s="17">
        <v>50.99</v>
      </c>
      <c r="G14" s="17">
        <v>50.99</v>
      </c>
      <c r="H14" s="17" t="s">
        <v>35</v>
      </c>
      <c r="I14" s="24">
        <v>45987</v>
      </c>
      <c r="J14" s="17">
        <v>0</v>
      </c>
      <c r="K14" s="17">
        <v>36.020000000000003</v>
      </c>
      <c r="L14" s="19">
        <f t="shared" si="0"/>
        <v>0.95014508045370627</v>
      </c>
      <c r="N14" s="20">
        <f t="shared" si="1"/>
        <v>0.50958904109589043</v>
      </c>
      <c r="O14" s="20">
        <f t="shared" si="2"/>
        <v>0.98222238570339282</v>
      </c>
      <c r="P14" s="20">
        <f t="shared" si="3"/>
        <v>0.32249552069853521</v>
      </c>
      <c r="Q14" s="20">
        <f t="shared" si="4"/>
        <v>-4.1499172398410479E-2</v>
      </c>
      <c r="R14" s="21">
        <f t="shared" si="5"/>
        <v>6.2226902482048629</v>
      </c>
      <c r="S14" s="21">
        <f t="shared" si="6"/>
        <v>4.3662899392254548</v>
      </c>
      <c r="T14" s="22">
        <f t="shared" si="7"/>
        <v>0.61532434671263836</v>
      </c>
      <c r="U14" s="22">
        <f t="shared" si="8"/>
        <v>-0.36689803899075446</v>
      </c>
      <c r="W14" s="7">
        <f t="shared" si="9"/>
        <v>1.8899999999999935</v>
      </c>
      <c r="X14" s="23">
        <f t="shared" si="10"/>
        <v>4.3326902482048695</v>
      </c>
    </row>
    <row r="15" spans="2:25" thickTop="1" thickBot="1" x14ac:dyDescent="0.25">
      <c r="B15" s="9">
        <v>100</v>
      </c>
      <c r="C15" s="9" t="s">
        <v>57</v>
      </c>
      <c r="D15" s="17" t="e">
        <v>#N/A</v>
      </c>
      <c r="E15" s="17" t="e">
        <v>#N/A</v>
      </c>
      <c r="F15" s="9">
        <v>51.79</v>
      </c>
      <c r="G15" s="9">
        <v>51.8</v>
      </c>
      <c r="H15" s="17" t="s">
        <v>36</v>
      </c>
      <c r="I15" s="18">
        <v>45987</v>
      </c>
      <c r="J15" s="17">
        <v>0</v>
      </c>
      <c r="K15" s="9">
        <v>37.909999999999997</v>
      </c>
      <c r="L15" s="19">
        <f t="shared" si="0"/>
        <v>1</v>
      </c>
      <c r="N15" s="20">
        <f>(I15-$K$2)/365</f>
        <v>0.50958904109589043</v>
      </c>
      <c r="O15" s="20">
        <f t="shared" si="2"/>
        <v>0.98222238570339282</v>
      </c>
      <c r="P15" s="20">
        <f>(LN($H$4/K15)+0.5*(G15/100)^2*N15)/(G15/100*SQRT(N15))</f>
        <v>0.18488845952561078</v>
      </c>
      <c r="Q15" s="20">
        <f t="shared" si="4"/>
        <v>-0.18488845952561078</v>
      </c>
      <c r="R15" s="21">
        <f t="shared" si="5"/>
        <v>5.4619133815085954</v>
      </c>
      <c r="S15" s="21">
        <f t="shared" si="6"/>
        <v>5.4619133815085954</v>
      </c>
      <c r="T15" s="22">
        <f t="shared" si="7"/>
        <v>0.56314909026014537</v>
      </c>
      <c r="U15" s="22">
        <f t="shared" si="8"/>
        <v>-0.41907329544324745</v>
      </c>
      <c r="W15" s="7">
        <f t="shared" si="9"/>
        <v>0</v>
      </c>
      <c r="X15" s="23">
        <f t="shared" si="10"/>
        <v>5.4619133815085954</v>
      </c>
    </row>
    <row r="16" spans="2:25" thickTop="1" thickBot="1" x14ac:dyDescent="0.25">
      <c r="B16" s="9">
        <v>105</v>
      </c>
      <c r="C16" s="9" t="s">
        <v>58</v>
      </c>
      <c r="D16" s="17" t="e">
        <v>#N/A</v>
      </c>
      <c r="E16" s="17" t="e">
        <v>#N/A</v>
      </c>
      <c r="F16" s="17">
        <v>52.65</v>
      </c>
      <c r="G16" s="17">
        <v>52.65</v>
      </c>
      <c r="H16" s="17" t="s">
        <v>37</v>
      </c>
      <c r="I16" s="24">
        <v>45987</v>
      </c>
      <c r="J16" s="17">
        <v>0</v>
      </c>
      <c r="K16" s="17">
        <v>39.81</v>
      </c>
      <c r="L16" s="19">
        <f t="shared" si="0"/>
        <v>1.0501187021893961</v>
      </c>
      <c r="N16" s="20">
        <f t="shared" si="1"/>
        <v>0.50958904109589043</v>
      </c>
      <c r="O16" s="20">
        <f t="shared" si="2"/>
        <v>0.98222238570339282</v>
      </c>
      <c r="P16" s="20">
        <f t="shared" si="3"/>
        <v>5.7806875152034545E-2</v>
      </c>
      <c r="Q16" s="20">
        <f t="shared" si="4"/>
        <v>-0.3180378118758963</v>
      </c>
      <c r="R16" s="21">
        <f t="shared" si="5"/>
        <v>4.8039977092833768</v>
      </c>
      <c r="S16" s="21">
        <f t="shared" si="6"/>
        <v>6.6702202421198269</v>
      </c>
      <c r="T16" s="22">
        <f t="shared" si="7"/>
        <v>0.51375020984444097</v>
      </c>
      <c r="U16" s="22">
        <f t="shared" si="8"/>
        <v>-0.46847217585895179</v>
      </c>
      <c r="W16" s="7">
        <f t="shared" si="9"/>
        <v>0</v>
      </c>
      <c r="X16" s="23">
        <f t="shared" si="10"/>
        <v>4.8039977092833768</v>
      </c>
    </row>
    <row r="17" spans="2:24" thickTop="1" thickBot="1" x14ac:dyDescent="0.25">
      <c r="B17" s="9">
        <v>110</v>
      </c>
      <c r="C17" s="9" t="s">
        <v>59</v>
      </c>
      <c r="D17" s="17" t="e">
        <v>#N/A</v>
      </c>
      <c r="E17" s="17" t="e">
        <v>#N/A</v>
      </c>
      <c r="F17" s="9">
        <v>53.52</v>
      </c>
      <c r="G17" s="9">
        <v>53.53</v>
      </c>
      <c r="H17" s="17" t="s">
        <v>38</v>
      </c>
      <c r="I17" s="18">
        <v>45987</v>
      </c>
      <c r="J17" s="17">
        <v>0</v>
      </c>
      <c r="K17" s="9">
        <v>41.7</v>
      </c>
      <c r="L17" s="19">
        <f t="shared" si="0"/>
        <v>1.0999736217356899</v>
      </c>
      <c r="N17" s="20">
        <f t="shared" si="1"/>
        <v>0.50958904109589043</v>
      </c>
      <c r="O17" s="20">
        <f t="shared" si="2"/>
        <v>0.98222238570339282</v>
      </c>
      <c r="P17" s="20">
        <f t="shared" si="3"/>
        <v>-5.8294358436281959E-2</v>
      </c>
      <c r="Q17" s="20">
        <f t="shared" si="4"/>
        <v>-0.44042096995774699</v>
      </c>
      <c r="R17" s="21">
        <f t="shared" si="5"/>
        <v>4.2437200332531599</v>
      </c>
      <c r="S17" s="21">
        <f t="shared" si="6"/>
        <v>7.9663428750690208</v>
      </c>
      <c r="T17" s="22">
        <f t="shared" si="7"/>
        <v>0.46828147710342821</v>
      </c>
      <c r="U17" s="22">
        <f t="shared" si="8"/>
        <v>-0.51394090859996466</v>
      </c>
      <c r="W17" s="7">
        <f t="shared" si="9"/>
        <v>0</v>
      </c>
      <c r="X17" s="23">
        <f t="shared" si="10"/>
        <v>4.2437200332531599</v>
      </c>
    </row>
    <row r="18" spans="2:24" thickTop="1" thickBot="1" x14ac:dyDescent="0.25">
      <c r="B18" s="9">
        <v>115</v>
      </c>
      <c r="C18" s="9" t="s">
        <v>60</v>
      </c>
      <c r="D18" s="17" t="e">
        <v>#N/A</v>
      </c>
      <c r="E18" s="17" t="e">
        <v>#N/A</v>
      </c>
      <c r="F18" s="9">
        <v>54.4</v>
      </c>
      <c r="G18" s="9">
        <v>54.41</v>
      </c>
      <c r="H18" s="17" t="s">
        <v>39</v>
      </c>
      <c r="I18" s="18">
        <v>45987</v>
      </c>
      <c r="J18" s="17">
        <v>0</v>
      </c>
      <c r="K18" s="9">
        <v>43.6</v>
      </c>
      <c r="L18" s="19">
        <f t="shared" si="0"/>
        <v>1.150092323925086</v>
      </c>
      <c r="N18" s="20">
        <f t="shared" si="1"/>
        <v>0.50958904109589043</v>
      </c>
      <c r="O18" s="20">
        <f t="shared" si="2"/>
        <v>0.98222238570339282</v>
      </c>
      <c r="P18" s="20">
        <f t="shared" si="3"/>
        <v>-0.16583473180826355</v>
      </c>
      <c r="Q18" s="20">
        <f t="shared" si="4"/>
        <v>-0.55424326782326283</v>
      </c>
      <c r="R18" s="21">
        <f t="shared" si="5"/>
        <v>3.7591523251261547</v>
      </c>
      <c r="S18" s="21">
        <f t="shared" si="6"/>
        <v>9.3479976997784622</v>
      </c>
      <c r="T18" s="22">
        <f t="shared" si="7"/>
        <v>0.42642547045538748</v>
      </c>
      <c r="U18" s="22">
        <f t="shared" si="8"/>
        <v>-0.55579691524800534</v>
      </c>
      <c r="W18" s="7">
        <f t="shared" si="9"/>
        <v>0</v>
      </c>
      <c r="X18" s="23">
        <f t="shared" si="10"/>
        <v>3.7591523251261547</v>
      </c>
    </row>
    <row r="19" spans="2:24" thickTop="1" thickBot="1" x14ac:dyDescent="0.25">
      <c r="B19" s="9">
        <v>120</v>
      </c>
      <c r="C19" s="9" t="s">
        <v>61</v>
      </c>
      <c r="D19" s="17" t="e">
        <v>#N/A</v>
      </c>
      <c r="E19" s="17" t="e">
        <v>#N/A</v>
      </c>
      <c r="F19" s="9">
        <v>55.26</v>
      </c>
      <c r="G19" s="9">
        <v>55.27</v>
      </c>
      <c r="H19" s="17" t="s">
        <v>40</v>
      </c>
      <c r="I19" s="18">
        <v>45987</v>
      </c>
      <c r="J19" s="17">
        <v>0</v>
      </c>
      <c r="K19" s="9">
        <v>45.49</v>
      </c>
      <c r="L19" s="19">
        <f t="shared" si="0"/>
        <v>1.1999472434713798</v>
      </c>
      <c r="N19" s="20">
        <f t="shared" si="1"/>
        <v>0.50958904109589043</v>
      </c>
      <c r="O19" s="20">
        <f t="shared" si="2"/>
        <v>0.98222238570339282</v>
      </c>
      <c r="P19" s="20">
        <f t="shared" si="3"/>
        <v>-0.2647174351544237</v>
      </c>
      <c r="Q19" s="20">
        <f t="shared" si="4"/>
        <v>-0.6592651246517407</v>
      </c>
      <c r="R19" s="21">
        <f t="shared" si="5"/>
        <v>3.3434882208422985</v>
      </c>
      <c r="S19" s="21">
        <f t="shared" si="6"/>
        <v>10.788733904474022</v>
      </c>
      <c r="T19" s="22">
        <f t="shared" si="7"/>
        <v>0.38858050709528341</v>
      </c>
      <c r="U19" s="22">
        <f t="shared" si="8"/>
        <v>-0.59364187860810946</v>
      </c>
      <c r="W19" s="7">
        <f t="shared" si="9"/>
        <v>0</v>
      </c>
      <c r="X19" s="23">
        <f t="shared" si="10"/>
        <v>3.3434882208422985</v>
      </c>
    </row>
    <row r="20" spans="2:24" thickTop="1" thickBot="1" x14ac:dyDescent="0.25">
      <c r="B20" s="9">
        <v>125</v>
      </c>
      <c r="C20" s="9" t="s">
        <v>62</v>
      </c>
      <c r="D20" s="17" t="e">
        <v>#N/A</v>
      </c>
      <c r="E20" s="17" t="e">
        <v>#N/A</v>
      </c>
      <c r="F20" s="17">
        <v>56.11</v>
      </c>
      <c r="G20" s="17">
        <v>56.11</v>
      </c>
      <c r="H20" s="17" t="s">
        <v>41</v>
      </c>
      <c r="I20" s="24">
        <v>45987</v>
      </c>
      <c r="J20" s="17">
        <v>0</v>
      </c>
      <c r="K20" s="17">
        <v>47.39</v>
      </c>
      <c r="L20" s="19">
        <f t="shared" si="0"/>
        <v>1.2500659456607757</v>
      </c>
      <c r="N20" s="20">
        <f t="shared" si="1"/>
        <v>0.50958904109589043</v>
      </c>
      <c r="O20" s="20">
        <f t="shared" si="2"/>
        <v>0.98222238570339282</v>
      </c>
      <c r="P20" s="20">
        <f t="shared" si="3"/>
        <v>-0.35696079323826962</v>
      </c>
      <c r="Q20" s="20">
        <f t="shared" si="4"/>
        <v>-0.75750486520668747</v>
      </c>
      <c r="R20" s="21">
        <f t="shared" si="5"/>
        <v>2.9818117156591368</v>
      </c>
      <c r="S20" s="21">
        <f t="shared" si="6"/>
        <v>12.293279932127303</v>
      </c>
      <c r="T20" s="22">
        <f t="shared" si="7"/>
        <v>0.35415067167294484</v>
      </c>
      <c r="U20" s="22">
        <f t="shared" si="8"/>
        <v>-0.62807171403044804</v>
      </c>
      <c r="W20" s="7">
        <f t="shared" si="9"/>
        <v>0</v>
      </c>
      <c r="X20" s="23">
        <f t="shared" si="10"/>
        <v>2.9818117156591368</v>
      </c>
    </row>
    <row r="21" spans="2:24" thickTop="1" thickBot="1" x14ac:dyDescent="0.25">
      <c r="B21" s="9">
        <v>130</v>
      </c>
      <c r="C21" s="9" t="s">
        <v>63</v>
      </c>
      <c r="D21" s="17" t="e">
        <v>#N/A</v>
      </c>
      <c r="E21" s="17" t="e">
        <v>#N/A</v>
      </c>
      <c r="F21" s="9">
        <v>56.93</v>
      </c>
      <c r="G21" s="9">
        <v>56.93</v>
      </c>
      <c r="H21" s="17" t="s">
        <v>42</v>
      </c>
      <c r="I21" s="18">
        <v>45987</v>
      </c>
      <c r="J21" s="17">
        <v>0</v>
      </c>
      <c r="K21" s="9">
        <v>49.29</v>
      </c>
      <c r="L21" s="19">
        <f t="shared" si="0"/>
        <v>1.3001846478501715</v>
      </c>
      <c r="N21" s="20">
        <f t="shared" si="1"/>
        <v>0.50958904109589043</v>
      </c>
      <c r="O21" s="20">
        <f t="shared" si="2"/>
        <v>0.98222238570339282</v>
      </c>
      <c r="P21" s="20">
        <f t="shared" si="3"/>
        <v>-0.4427356748770469</v>
      </c>
      <c r="Q21" s="20">
        <f t="shared" si="4"/>
        <v>-0.84913335830534886</v>
      </c>
      <c r="R21" s="21">
        <f t="shared" si="5"/>
        <v>2.6686078247071601</v>
      </c>
      <c r="S21" s="21">
        <f t="shared" si="6"/>
        <v>13.846298574011776</v>
      </c>
      <c r="T21" s="22">
        <f t="shared" si="7"/>
        <v>0.32313001528849378</v>
      </c>
      <c r="U21" s="22">
        <f t="shared" si="8"/>
        <v>-0.65909237041489899</v>
      </c>
      <c r="W21" s="7">
        <f t="shared" si="9"/>
        <v>0</v>
      </c>
      <c r="X21" s="23">
        <f t="shared" si="10"/>
        <v>2.6686078247071601</v>
      </c>
    </row>
    <row r="22" spans="2:24" thickTop="1" thickBot="1" x14ac:dyDescent="0.25">
      <c r="B22" s="9">
        <v>140</v>
      </c>
      <c r="C22" s="9" t="s">
        <v>64</v>
      </c>
      <c r="D22" s="17" t="e">
        <v>#N/A</v>
      </c>
      <c r="E22" s="17" t="e">
        <v>#N/A</v>
      </c>
      <c r="F22" s="9">
        <v>58.49</v>
      </c>
      <c r="G22" s="9">
        <v>58.49</v>
      </c>
      <c r="H22" s="17" t="s">
        <v>43</v>
      </c>
      <c r="I22" s="18">
        <v>45987</v>
      </c>
      <c r="J22" s="17">
        <v>0</v>
      </c>
      <c r="K22" s="9">
        <v>53.08</v>
      </c>
      <c r="L22" s="19">
        <f t="shared" si="0"/>
        <v>1.4001582695858614</v>
      </c>
      <c r="N22" s="20">
        <f t="shared" si="1"/>
        <v>0.50958904109589043</v>
      </c>
      <c r="O22" s="20">
        <f t="shared" si="2"/>
        <v>0.98222238570339282</v>
      </c>
      <c r="P22" s="20">
        <f t="shared" si="3"/>
        <v>-0.59736007055993645</v>
      </c>
      <c r="Q22" s="20">
        <f t="shared" si="4"/>
        <v>-1.0148938928631401</v>
      </c>
      <c r="R22" s="21">
        <f t="shared" si="5"/>
        <v>2.1596712873409829</v>
      </c>
      <c r="S22" s="21">
        <f t="shared" si="6"/>
        <v>17.059984878461449</v>
      </c>
      <c r="T22" s="22">
        <f t="shared" si="7"/>
        <v>0.27024228592930688</v>
      </c>
      <c r="U22" s="22">
        <f t="shared" si="8"/>
        <v>-0.71198009977408594</v>
      </c>
      <c r="W22" s="7">
        <f t="shared" si="9"/>
        <v>0</v>
      </c>
      <c r="X22" s="23">
        <f t="shared" si="10"/>
        <v>2.1596712873409829</v>
      </c>
    </row>
    <row r="23" spans="2:24" thickTop="1" thickBot="1" x14ac:dyDescent="0.25">
      <c r="B23" s="9">
        <v>150</v>
      </c>
      <c r="C23" s="9" t="s">
        <v>65</v>
      </c>
      <c r="D23" s="17" t="e">
        <v>#N/A</v>
      </c>
      <c r="E23" s="17" t="e">
        <v>#N/A</v>
      </c>
      <c r="F23" s="9">
        <v>59.94</v>
      </c>
      <c r="G23" s="9">
        <v>59.95</v>
      </c>
      <c r="H23" s="17" t="s">
        <v>44</v>
      </c>
      <c r="I23" s="18">
        <v>45987</v>
      </c>
      <c r="J23" s="17">
        <v>0</v>
      </c>
      <c r="K23" s="9">
        <v>56.87</v>
      </c>
      <c r="L23" s="19">
        <f t="shared" si="0"/>
        <v>1.5001318913215511</v>
      </c>
      <c r="N23" s="20">
        <f t="shared" si="1"/>
        <v>0.50958904109589043</v>
      </c>
      <c r="O23" s="20">
        <f t="shared" si="2"/>
        <v>0.98222238570339282</v>
      </c>
      <c r="P23" s="20">
        <f t="shared" si="3"/>
        <v>-0.73367294663013649</v>
      </c>
      <c r="Q23" s="20">
        <f t="shared" si="4"/>
        <v>-1.1616290527521582</v>
      </c>
      <c r="R23" s="21">
        <f t="shared" si="5"/>
        <v>1.7693912695431515</v>
      </c>
      <c r="S23" s="21">
        <f t="shared" si="6"/>
        <v>20.392327702479481</v>
      </c>
      <c r="T23" s="22">
        <f t="shared" si="7"/>
        <v>0.22745721117608195</v>
      </c>
      <c r="U23" s="22">
        <f t="shared" si="8"/>
        <v>-0.75476517452731084</v>
      </c>
      <c r="W23" s="7">
        <f t="shared" si="9"/>
        <v>0</v>
      </c>
      <c r="X23" s="23">
        <f t="shared" si="10"/>
        <v>1.7693912695431515</v>
      </c>
    </row>
    <row r="26" spans="2:24" thickTop="1" thickBot="1" x14ac:dyDescent="0.25">
      <c r="B26" s="7" t="s">
        <v>45</v>
      </c>
      <c r="C26" s="7" t="s">
        <v>46</v>
      </c>
      <c r="L26" s="11"/>
    </row>
    <row r="27" spans="2:24" thickTop="1" thickBot="1" x14ac:dyDescent="0.25">
      <c r="C27" s="7" t="s">
        <v>47</v>
      </c>
      <c r="L27" s="11"/>
    </row>
    <row r="28" spans="2:24" thickTop="1" thickBot="1" x14ac:dyDescent="0.25">
      <c r="L28" s="11"/>
    </row>
    <row r="29" spans="2:24" thickTop="1" thickBot="1" x14ac:dyDescent="0.25">
      <c r="L29" s="11"/>
    </row>
    <row r="30" spans="2:24" thickTop="1" thickBot="1" x14ac:dyDescent="0.25">
      <c r="L30" s="11"/>
    </row>
    <row r="31" spans="2:24" thickTop="1" thickBot="1" x14ac:dyDescent="0.25">
      <c r="C31" s="7" t="s">
        <v>48</v>
      </c>
      <c r="L31" s="11"/>
    </row>
    <row r="32" spans="2:24" thickTop="1" thickBot="1" x14ac:dyDescent="0.25">
      <c r="L32" s="11"/>
    </row>
    <row r="33" spans="12:12" thickTop="1" thickBot="1" x14ac:dyDescent="0.25">
      <c r="L33" s="11"/>
    </row>
    <row r="34" spans="12:12" thickTop="1" thickBot="1" x14ac:dyDescent="0.25">
      <c r="L34" s="11"/>
    </row>
    <row r="35" spans="12:12" thickTop="1" thickBot="1" x14ac:dyDescent="0.25">
      <c r="L35" s="11"/>
    </row>
    <row r="36" spans="12:12" thickTop="1" thickBot="1" x14ac:dyDescent="0.25">
      <c r="L36" s="11"/>
    </row>
    <row r="37" spans="12:12" thickTop="1" thickBot="1" x14ac:dyDescent="0.25">
      <c r="L37" s="11"/>
    </row>
    <row r="38" spans="12:12" thickTop="1" thickBot="1" x14ac:dyDescent="0.25">
      <c r="L38" s="11"/>
    </row>
    <row r="39" spans="12:12" thickTop="1" thickBot="1" x14ac:dyDescent="0.25">
      <c r="L39" s="11"/>
    </row>
    <row r="40" spans="12:12" thickTop="1" thickBot="1" x14ac:dyDescent="0.25">
      <c r="L40" s="11"/>
    </row>
    <row r="41" spans="12:12" thickTop="1" thickBot="1" x14ac:dyDescent="0.25">
      <c r="L41" s="11"/>
    </row>
    <row r="42" spans="12:12" thickTop="1" thickBot="1" x14ac:dyDescent="0.25">
      <c r="L42" s="11"/>
    </row>
    <row r="43" spans="12:12" thickTop="1" thickBot="1" x14ac:dyDescent="0.25">
      <c r="L43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Y43"/>
  <sheetViews>
    <sheetView topLeftCell="G1" zoomScale="120" workbookViewId="0">
      <selection activeCell="K3" sqref="K3"/>
    </sheetView>
  </sheetViews>
  <sheetFormatPr baseColWidth="10" defaultColWidth="9.1796875" defaultRowHeight="11" thickTop="1" thickBottom="1" x14ac:dyDescent="0.25"/>
  <cols>
    <col min="1" max="1" width="9.1796875" style="7"/>
    <col min="2" max="2" width="12.7265625" style="7" customWidth="1"/>
    <col min="3" max="3" width="20.7265625" style="7" customWidth="1"/>
    <col min="4" max="4" width="5.7265625" style="7" bestFit="1" customWidth="1"/>
    <col min="5" max="5" width="5.81640625" style="7" customWidth="1"/>
    <col min="6" max="6" width="5.1796875" style="7" bestFit="1" customWidth="1"/>
    <col min="7" max="7" width="11.453125" style="7" customWidth="1"/>
    <col min="8" max="8" width="18.1796875" style="7" customWidth="1"/>
    <col min="9" max="9" width="10.1796875" style="7" customWidth="1"/>
    <col min="10" max="10" width="11.453125" style="7" customWidth="1"/>
    <col min="11" max="11" width="12" style="7" customWidth="1"/>
    <col min="12" max="12" width="6.26953125" style="7" customWidth="1"/>
    <col min="13" max="13" width="9.1796875" style="7"/>
    <col min="14" max="15" width="9.1796875" style="11"/>
    <col min="16" max="17" width="6.26953125" style="11" bestFit="1" customWidth="1"/>
    <col min="18" max="18" width="9.1796875" style="7"/>
    <col min="19" max="19" width="10" style="7" bestFit="1" customWidth="1"/>
    <col min="20" max="16384" width="9.1796875" style="7"/>
  </cols>
  <sheetData>
    <row r="2" spans="2:25" s="2" customFormat="1" ht="14" thickTop="1" thickBot="1" x14ac:dyDescent="0.35">
      <c r="B2" s="1" t="s">
        <v>0</v>
      </c>
      <c r="G2" s="3" t="s">
        <v>1</v>
      </c>
      <c r="H2" s="4" t="s">
        <v>2</v>
      </c>
      <c r="J2" s="3" t="s">
        <v>3</v>
      </c>
      <c r="K2" s="5">
        <v>45801</v>
      </c>
      <c r="N2" s="6"/>
      <c r="O2" s="6"/>
      <c r="P2" s="6"/>
      <c r="Q2" s="6"/>
    </row>
    <row r="3" spans="2:25" s="2" customFormat="1" ht="13.5" thickTop="1" thickBot="1" x14ac:dyDescent="0.3">
      <c r="J3" s="6"/>
      <c r="N3" s="6"/>
      <c r="O3" s="6"/>
      <c r="P3" s="6"/>
      <c r="Q3" s="6"/>
    </row>
    <row r="4" spans="2:25" thickTop="1" thickBot="1" x14ac:dyDescent="0.25">
      <c r="D4" s="3" t="s">
        <v>4</v>
      </c>
      <c r="E4" s="8">
        <v>46174</v>
      </c>
      <c r="G4" s="3" t="s">
        <v>5</v>
      </c>
      <c r="H4" s="9">
        <f>K15</f>
        <v>33.53</v>
      </c>
      <c r="J4" s="3" t="s">
        <v>6</v>
      </c>
      <c r="K4" s="10">
        <v>3.5200000000000002E-2</v>
      </c>
    </row>
    <row r="5" spans="2:25" ht="11.5" thickTop="1" thickBot="1" x14ac:dyDescent="0.3">
      <c r="N5" s="12" t="s">
        <v>7</v>
      </c>
    </row>
    <row r="6" spans="2:25" s="15" customFormat="1" ht="22" thickTop="1" thickBot="1" x14ac:dyDescent="0.3">
      <c r="B6" s="13" t="s">
        <v>8</v>
      </c>
      <c r="C6" s="14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3" t="s">
        <v>14</v>
      </c>
      <c r="I6" s="13" t="s">
        <v>15</v>
      </c>
      <c r="J6" s="13" t="s">
        <v>16</v>
      </c>
      <c r="K6" s="13" t="s">
        <v>17</v>
      </c>
      <c r="N6" s="13" t="s">
        <v>18</v>
      </c>
      <c r="O6" s="13" t="s">
        <v>19</v>
      </c>
      <c r="P6" s="13" t="s">
        <v>20</v>
      </c>
      <c r="Q6" s="13" t="s">
        <v>21</v>
      </c>
      <c r="R6" s="13" t="s">
        <v>22</v>
      </c>
      <c r="S6" s="13" t="s">
        <v>23</v>
      </c>
      <c r="T6" s="16" t="s">
        <v>24</v>
      </c>
      <c r="U6" s="16" t="s">
        <v>25</v>
      </c>
      <c r="W6" s="15" t="s">
        <v>26</v>
      </c>
      <c r="X6" s="15" t="s">
        <v>27</v>
      </c>
    </row>
    <row r="7" spans="2:25" thickTop="1" thickBot="1" x14ac:dyDescent="0.25">
      <c r="B7" s="9">
        <v>50</v>
      </c>
      <c r="C7" s="9" t="s">
        <v>100</v>
      </c>
      <c r="D7" s="17" t="e">
        <v>#N/A</v>
      </c>
      <c r="E7" s="17" t="e">
        <v>#N/A</v>
      </c>
      <c r="F7" s="9">
        <v>51.53</v>
      </c>
      <c r="G7" s="9">
        <v>51.55</v>
      </c>
      <c r="H7" s="17" t="s">
        <v>101</v>
      </c>
      <c r="I7" s="18">
        <v>46169</v>
      </c>
      <c r="J7" s="17">
        <v>0</v>
      </c>
      <c r="K7" s="9">
        <v>16.760000000000002</v>
      </c>
      <c r="L7" s="19">
        <f>K7/$H$4</f>
        <v>0.49985087980912618</v>
      </c>
      <c r="N7" s="20">
        <f>(I7-$K$2)/365</f>
        <v>1.0082191780821919</v>
      </c>
      <c r="O7" s="20">
        <f>EXP(-$K$4*N7)</f>
        <v>0.96513304655540455</v>
      </c>
      <c r="P7" s="20">
        <f>(LN($H$4/K7)+0.5*(G7/100)^2*N7)/(G7/100*SQRT(N7))</f>
        <v>1.5985027863831593</v>
      </c>
      <c r="Q7" s="20">
        <f>(LN($H$4/K7)-0.5*(G7/100)^2*N7)/(G7/100*SQRT(N7))</f>
        <v>1.0808886285026431</v>
      </c>
      <c r="R7" s="21">
        <f>O7*($H$4*_xlfn.NORM.S.DIST(P7,TRUE)-K7*_xlfn.NORM.S.DIST(Q7,TRUE))</f>
        <v>16.669084692669085</v>
      </c>
      <c r="S7" s="21">
        <f>O7*(K7*_xlfn.NORM.S.DIST(-Q7,TRUE)-$H$4*_xlfn.NORM.S.DIST(-P7,TRUE))</f>
        <v>0.48380350193495092</v>
      </c>
      <c r="T7" s="22">
        <f>O7*_xlfn.NORM.S.DIST(P7,TRUE)</f>
        <v>0.91208396538114955</v>
      </c>
      <c r="U7" s="22">
        <f>O7*(_xlfn.NORM.S.DIST(P7,TRUE)-1)</f>
        <v>-5.3049081174255032E-2</v>
      </c>
      <c r="W7" s="7">
        <f>MAX($H$4-K7,0)</f>
        <v>16.77</v>
      </c>
      <c r="X7" s="23">
        <f>R7-W7</f>
        <v>-0.10091530733091503</v>
      </c>
      <c r="Y7" s="15"/>
    </row>
    <row r="8" spans="2:25" thickTop="1" thickBot="1" x14ac:dyDescent="0.25">
      <c r="B8" s="9">
        <v>60</v>
      </c>
      <c r="C8" s="9" t="s">
        <v>102</v>
      </c>
      <c r="D8" s="17" t="e">
        <v>#N/A</v>
      </c>
      <c r="E8" s="17" t="e">
        <v>#N/A</v>
      </c>
      <c r="F8" s="9">
        <v>49.03</v>
      </c>
      <c r="G8" s="9">
        <v>49.04</v>
      </c>
      <c r="H8" s="17" t="s">
        <v>103</v>
      </c>
      <c r="I8" s="18">
        <v>46169</v>
      </c>
      <c r="J8" s="17">
        <v>0</v>
      </c>
      <c r="K8" s="9">
        <v>20.12</v>
      </c>
      <c r="L8" s="19">
        <f t="shared" ref="L8:L23" si="0">K8/$H$4</f>
        <v>0.60005964807634959</v>
      </c>
      <c r="N8" s="20">
        <f t="shared" ref="N8:N23" si="1">(I8-$K$2)/365</f>
        <v>1.0082191780821919</v>
      </c>
      <c r="O8" s="20">
        <f t="shared" ref="O8:O23" si="2">EXP(-$K$4*N8)</f>
        <v>0.96513304655540455</v>
      </c>
      <c r="P8" s="20">
        <f t="shared" ref="P8:P23" si="3">(LN($H$4/K8)+0.5*(G8/100)^2*N8)/(G8/100*SQRT(N8))</f>
        <v>1.2834001251963802</v>
      </c>
      <c r="Q8" s="20">
        <f t="shared" ref="Q8:Q23" si="4">(LN($H$4/K8)-0.5*(G8/100)^2*N8)/(G8/100*SQRT(N8))</f>
        <v>0.79098890691392609</v>
      </c>
      <c r="R8" s="21">
        <f t="shared" ref="R8:R23" si="5">O8*($H$4*_xlfn.NORM.S.DIST(P8,TRUE)-K8*_xlfn.NORM.S.DIST(Q8,TRUE))</f>
        <v>13.881611461926568</v>
      </c>
      <c r="S8" s="21">
        <f t="shared" ref="S8:S23" si="6">O8*(K8*_xlfn.NORM.S.DIST(-Q8,TRUE)-$H$4*_xlfn.NORM.S.DIST(-P8,TRUE))</f>
        <v>0.9391773076185912</v>
      </c>
      <c r="T8" s="22">
        <f t="shared" ref="T8:T23" si="7">O8*_xlfn.NORM.S.DIST(P8,TRUE)</f>
        <v>0.86893247876320978</v>
      </c>
      <c r="U8" s="22">
        <f t="shared" ref="U8:U23" si="8">O8*(_xlfn.NORM.S.DIST(P8,TRUE)-1)</f>
        <v>-9.6200567792194727E-2</v>
      </c>
      <c r="W8" s="7">
        <f t="shared" ref="W8:W23" si="9">MAX($H$4-K8,0)</f>
        <v>13.41</v>
      </c>
      <c r="X8" s="23">
        <f t="shared" ref="X8:X23" si="10">R8-W8</f>
        <v>0.47161146192656744</v>
      </c>
      <c r="Y8" s="15"/>
    </row>
    <row r="9" spans="2:25" thickTop="1" thickBot="1" x14ac:dyDescent="0.25">
      <c r="B9" s="9">
        <v>70</v>
      </c>
      <c r="C9" s="9" t="s">
        <v>104</v>
      </c>
      <c r="D9" s="17" t="e">
        <v>#N/A</v>
      </c>
      <c r="E9" s="17" t="e">
        <v>#N/A</v>
      </c>
      <c r="F9" s="9">
        <v>47</v>
      </c>
      <c r="G9" s="9">
        <v>47.01</v>
      </c>
      <c r="H9" s="17" t="s">
        <v>105</v>
      </c>
      <c r="I9" s="18">
        <v>46169</v>
      </c>
      <c r="J9" s="17">
        <v>0</v>
      </c>
      <c r="K9" s="9">
        <v>23.47</v>
      </c>
      <c r="L9" s="19">
        <f t="shared" si="0"/>
        <v>0.6999701759618252</v>
      </c>
      <c r="N9" s="20">
        <f t="shared" si="1"/>
        <v>1.0082191780821919</v>
      </c>
      <c r="O9" s="20">
        <f t="shared" si="2"/>
        <v>0.96513304655540455</v>
      </c>
      <c r="P9" s="20">
        <f t="shared" si="3"/>
        <v>0.99172673133221456</v>
      </c>
      <c r="Q9" s="20">
        <f t="shared" si="4"/>
        <v>0.51969876698763495</v>
      </c>
      <c r="R9" s="21">
        <f t="shared" si="5"/>
        <v>11.34253639380305</v>
      </c>
      <c r="S9" s="21">
        <f t="shared" si="6"/>
        <v>1.6332979454556777</v>
      </c>
      <c r="T9" s="22">
        <f t="shared" si="7"/>
        <v>0.81006953667232529</v>
      </c>
      <c r="U9" s="22">
        <f t="shared" si="8"/>
        <v>-0.15506350988307926</v>
      </c>
      <c r="W9" s="7">
        <f t="shared" si="9"/>
        <v>10.060000000000002</v>
      </c>
      <c r="X9" s="23">
        <f t="shared" si="10"/>
        <v>1.2825363938030474</v>
      </c>
      <c r="Y9" s="15"/>
    </row>
    <row r="10" spans="2:25" thickTop="1" thickBot="1" x14ac:dyDescent="0.25">
      <c r="B10" s="9">
        <v>75</v>
      </c>
      <c r="C10" s="9" t="s">
        <v>106</v>
      </c>
      <c r="D10" s="17" t="e">
        <v>#N/A</v>
      </c>
      <c r="E10" s="17" t="e">
        <v>#N/A</v>
      </c>
      <c r="F10" s="9">
        <v>46.19</v>
      </c>
      <c r="G10" s="9">
        <v>46.19</v>
      </c>
      <c r="H10" s="17" t="s">
        <v>107</v>
      </c>
      <c r="I10" s="18">
        <v>46169</v>
      </c>
      <c r="J10" s="17">
        <v>0</v>
      </c>
      <c r="K10" s="9">
        <v>25.15</v>
      </c>
      <c r="L10" s="19">
        <f t="shared" si="0"/>
        <v>0.75007456009543683</v>
      </c>
      <c r="N10" s="20">
        <f t="shared" si="1"/>
        <v>1.0082191780821919</v>
      </c>
      <c r="O10" s="20">
        <f t="shared" si="2"/>
        <v>0.96513304655540455</v>
      </c>
      <c r="P10" s="20">
        <f t="shared" si="3"/>
        <v>0.85196223159464346</v>
      </c>
      <c r="Q10" s="20">
        <f t="shared" si="4"/>
        <v>0.38816789691955028</v>
      </c>
      <c r="R10" s="21">
        <f t="shared" si="5"/>
        <v>10.17890939482789</v>
      </c>
      <c r="S10" s="21">
        <f t="shared" si="6"/>
        <v>2.0910944646935961</v>
      </c>
      <c r="T10" s="22">
        <f t="shared" si="7"/>
        <v>0.77488840681838822</v>
      </c>
      <c r="U10" s="22">
        <f t="shared" si="8"/>
        <v>-0.1902446397370163</v>
      </c>
      <c r="W10" s="7">
        <f t="shared" si="9"/>
        <v>8.3800000000000026</v>
      </c>
      <c r="X10" s="23">
        <f t="shared" si="10"/>
        <v>1.7989093948278878</v>
      </c>
      <c r="Y10" s="15"/>
    </row>
    <row r="11" spans="2:25" thickTop="1" thickBot="1" x14ac:dyDescent="0.25">
      <c r="B11" s="9">
        <v>80</v>
      </c>
      <c r="C11" s="9" t="s">
        <v>108</v>
      </c>
      <c r="D11" s="17" t="e">
        <v>#N/A</v>
      </c>
      <c r="E11" s="17" t="e">
        <v>#N/A</v>
      </c>
      <c r="F11" s="9">
        <v>45.53</v>
      </c>
      <c r="G11" s="9">
        <v>45.54</v>
      </c>
      <c r="H11" s="17" t="s">
        <v>109</v>
      </c>
      <c r="I11" s="18">
        <v>46169</v>
      </c>
      <c r="J11" s="17">
        <v>0</v>
      </c>
      <c r="K11" s="9">
        <v>26.82</v>
      </c>
      <c r="L11" s="19">
        <f t="shared" si="0"/>
        <v>0.79988070384730092</v>
      </c>
      <c r="N11" s="20">
        <f t="shared" si="1"/>
        <v>1.0082191780821919</v>
      </c>
      <c r="O11" s="20">
        <f t="shared" si="2"/>
        <v>0.96513304655540455</v>
      </c>
      <c r="P11" s="20">
        <f t="shared" si="3"/>
        <v>0.71695324932496696</v>
      </c>
      <c r="Q11" s="20">
        <f t="shared" si="4"/>
        <v>0.25968557231471068</v>
      </c>
      <c r="R11" s="21">
        <f t="shared" si="5"/>
        <v>9.1067786906515042</v>
      </c>
      <c r="S11" s="21">
        <f t="shared" si="6"/>
        <v>2.6307359482647432</v>
      </c>
      <c r="T11" s="22">
        <f t="shared" si="7"/>
        <v>0.73668463387412286</v>
      </c>
      <c r="U11" s="22">
        <f t="shared" si="8"/>
        <v>-0.22844841268128169</v>
      </c>
      <c r="W11" s="7">
        <f t="shared" si="9"/>
        <v>6.7100000000000009</v>
      </c>
      <c r="X11" s="23">
        <f t="shared" si="10"/>
        <v>2.3967786906515034</v>
      </c>
    </row>
    <row r="12" spans="2:25" thickTop="1" thickBot="1" x14ac:dyDescent="0.25">
      <c r="B12" s="9">
        <v>85</v>
      </c>
      <c r="C12" s="9" t="s">
        <v>110</v>
      </c>
      <c r="D12" s="17" t="e">
        <v>#N/A</v>
      </c>
      <c r="E12" s="17" t="e">
        <v>#N/A</v>
      </c>
      <c r="F12" s="17">
        <v>45.07</v>
      </c>
      <c r="G12" s="17">
        <v>45.08</v>
      </c>
      <c r="H12" s="17" t="s">
        <v>111</v>
      </c>
      <c r="I12" s="24">
        <v>46169</v>
      </c>
      <c r="J12" s="17">
        <v>0</v>
      </c>
      <c r="K12" s="17">
        <v>28.5</v>
      </c>
      <c r="L12" s="19">
        <f t="shared" si="0"/>
        <v>0.84998508798091255</v>
      </c>
      <c r="N12" s="20">
        <f t="shared" si="1"/>
        <v>1.0082191780821919</v>
      </c>
      <c r="O12" s="20">
        <f t="shared" si="2"/>
        <v>0.96513304655540455</v>
      </c>
      <c r="P12" s="20">
        <f t="shared" si="3"/>
        <v>0.58540294315631658</v>
      </c>
      <c r="Q12" s="20">
        <f t="shared" si="4"/>
        <v>0.13275413157040622</v>
      </c>
      <c r="R12" s="21">
        <f t="shared" si="5"/>
        <v>8.1220924662083096</v>
      </c>
      <c r="S12" s="21">
        <f t="shared" si="6"/>
        <v>3.2674732420346224</v>
      </c>
      <c r="T12" s="22">
        <f t="shared" si="7"/>
        <v>0.69572734720230833</v>
      </c>
      <c r="U12" s="22">
        <f t="shared" si="8"/>
        <v>-0.26940569935309622</v>
      </c>
      <c r="W12" s="7">
        <f t="shared" si="9"/>
        <v>5.0300000000000011</v>
      </c>
      <c r="X12" s="23">
        <f t="shared" si="10"/>
        <v>3.0920924662083085</v>
      </c>
    </row>
    <row r="13" spans="2:25" thickTop="1" thickBot="1" x14ac:dyDescent="0.25">
      <c r="B13" s="9">
        <v>90</v>
      </c>
      <c r="C13" s="9" t="s">
        <v>112</v>
      </c>
      <c r="D13" s="17" t="e">
        <v>#N/A</v>
      </c>
      <c r="E13" s="17" t="e">
        <v>#N/A</v>
      </c>
      <c r="F13" s="9">
        <v>44.83</v>
      </c>
      <c r="G13" s="9">
        <v>44.84</v>
      </c>
      <c r="H13" s="17" t="s">
        <v>113</v>
      </c>
      <c r="I13" s="18">
        <v>46169</v>
      </c>
      <c r="J13" s="17">
        <v>0</v>
      </c>
      <c r="K13" s="9">
        <v>30.17</v>
      </c>
      <c r="L13" s="19">
        <f t="shared" si="0"/>
        <v>0.89979123173277664</v>
      </c>
      <c r="N13" s="20">
        <f t="shared" si="1"/>
        <v>1.0082191780821919</v>
      </c>
      <c r="O13" s="20">
        <f t="shared" si="2"/>
        <v>0.96513304655540455</v>
      </c>
      <c r="P13" s="20">
        <f t="shared" si="3"/>
        <v>0.45964495781473708</v>
      </c>
      <c r="Q13" s="20">
        <f t="shared" si="4"/>
        <v>9.4059890589202159E-3</v>
      </c>
      <c r="R13" s="21">
        <f t="shared" si="5"/>
        <v>7.2437463715472878</v>
      </c>
      <c r="S13" s="21">
        <f t="shared" si="6"/>
        <v>4.0008993351211277</v>
      </c>
      <c r="T13" s="22">
        <f t="shared" si="7"/>
        <v>0.65350553986429161</v>
      </c>
      <c r="U13" s="22">
        <f t="shared" si="8"/>
        <v>-0.311627506691113</v>
      </c>
      <c r="W13" s="7">
        <f t="shared" si="9"/>
        <v>3.3599999999999994</v>
      </c>
      <c r="X13" s="23">
        <f t="shared" si="10"/>
        <v>3.8837463715472884</v>
      </c>
    </row>
    <row r="14" spans="2:25" thickTop="1" thickBot="1" x14ac:dyDescent="0.25">
      <c r="B14" s="9">
        <v>95</v>
      </c>
      <c r="C14" s="9" t="s">
        <v>114</v>
      </c>
      <c r="D14" s="17" t="e">
        <v>#N/A</v>
      </c>
      <c r="E14" s="17" t="e">
        <v>#N/A</v>
      </c>
      <c r="F14" s="17">
        <v>44.83</v>
      </c>
      <c r="G14" s="17">
        <v>44.85</v>
      </c>
      <c r="H14" s="17" t="s">
        <v>115</v>
      </c>
      <c r="I14" s="24">
        <v>46169</v>
      </c>
      <c r="J14" s="17">
        <v>0</v>
      </c>
      <c r="K14" s="17">
        <v>31.85</v>
      </c>
      <c r="L14" s="19">
        <f t="shared" si="0"/>
        <v>0.94989561586638827</v>
      </c>
      <c r="N14" s="20">
        <f t="shared" si="1"/>
        <v>1.0082191780821919</v>
      </c>
      <c r="O14" s="20">
        <f t="shared" si="2"/>
        <v>0.96513304655540455</v>
      </c>
      <c r="P14" s="20">
        <f t="shared" si="3"/>
        <v>0.33931289092309019</v>
      </c>
      <c r="Q14" s="20">
        <f t="shared" si="4"/>
        <v>-0.11102648795064718</v>
      </c>
      <c r="R14" s="21">
        <f t="shared" si="5"/>
        <v>6.4674178496663135</v>
      </c>
      <c r="S14" s="21">
        <f t="shared" si="6"/>
        <v>4.8459943314532321</v>
      </c>
      <c r="T14" s="22">
        <f t="shared" si="7"/>
        <v>0.6107487228884968</v>
      </c>
      <c r="U14" s="22">
        <f t="shared" si="8"/>
        <v>-0.35438432366690781</v>
      </c>
      <c r="W14" s="7">
        <f t="shared" si="9"/>
        <v>1.6799999999999997</v>
      </c>
      <c r="X14" s="23">
        <f t="shared" si="10"/>
        <v>4.7874178496663138</v>
      </c>
    </row>
    <row r="15" spans="2:25" thickTop="1" thickBot="1" x14ac:dyDescent="0.25">
      <c r="B15" s="9">
        <v>100</v>
      </c>
      <c r="C15" s="9" t="s">
        <v>116</v>
      </c>
      <c r="D15" s="17" t="e">
        <v>#N/A</v>
      </c>
      <c r="E15" s="17" t="e">
        <v>#N/A</v>
      </c>
      <c r="F15" s="9">
        <v>45.05</v>
      </c>
      <c r="G15" s="9">
        <v>45.08</v>
      </c>
      <c r="H15" s="17" t="s">
        <v>117</v>
      </c>
      <c r="I15" s="18">
        <v>46169</v>
      </c>
      <c r="J15" s="17">
        <v>0</v>
      </c>
      <c r="K15" s="9">
        <v>33.53</v>
      </c>
      <c r="L15" s="19">
        <f t="shared" si="0"/>
        <v>1</v>
      </c>
      <c r="N15" s="20">
        <f>(I15-$K$2)/365</f>
        <v>1.0082191780821919</v>
      </c>
      <c r="O15" s="20">
        <f t="shared" si="2"/>
        <v>0.96513304655540455</v>
      </c>
      <c r="P15" s="20">
        <f>(LN($H$4/K15)+0.5*(G15/100)^2*N15)/(G15/100*SQRT(N15))</f>
        <v>0.22632440579295515</v>
      </c>
      <c r="Q15" s="20">
        <f t="shared" si="4"/>
        <v>-0.22632440579295515</v>
      </c>
      <c r="R15" s="21">
        <f t="shared" si="5"/>
        <v>5.7942496747347629</v>
      </c>
      <c r="S15" s="21">
        <f t="shared" si="6"/>
        <v>5.7942496747347629</v>
      </c>
      <c r="T15" s="22">
        <f t="shared" si="7"/>
        <v>0.56897048502441805</v>
      </c>
      <c r="U15" s="22">
        <f t="shared" si="8"/>
        <v>-0.39616256153098645</v>
      </c>
      <c r="W15" s="7">
        <f t="shared" si="9"/>
        <v>0</v>
      </c>
      <c r="X15" s="23">
        <f t="shared" si="10"/>
        <v>5.7942496747347629</v>
      </c>
    </row>
    <row r="16" spans="2:25" thickTop="1" thickBot="1" x14ac:dyDescent="0.25">
      <c r="B16" s="9">
        <v>105</v>
      </c>
      <c r="C16" s="9" t="s">
        <v>118</v>
      </c>
      <c r="D16" s="17" t="e">
        <v>#N/A</v>
      </c>
      <c r="E16" s="17" t="e">
        <v>#N/A</v>
      </c>
      <c r="F16" s="17">
        <v>45.46</v>
      </c>
      <c r="G16" s="17">
        <v>45.49</v>
      </c>
      <c r="H16" s="17" t="s">
        <v>119</v>
      </c>
      <c r="I16" s="24">
        <v>46169</v>
      </c>
      <c r="J16" s="17">
        <v>0</v>
      </c>
      <c r="K16" s="17">
        <v>35.200000000000003</v>
      </c>
      <c r="L16" s="19">
        <f t="shared" si="0"/>
        <v>1.049806143751864</v>
      </c>
      <c r="N16" s="20">
        <f t="shared" si="1"/>
        <v>1.0082191780821919</v>
      </c>
      <c r="O16" s="20">
        <f t="shared" si="2"/>
        <v>0.96513304655540455</v>
      </c>
      <c r="P16" s="20">
        <f t="shared" si="3"/>
        <v>0.12197042288489648</v>
      </c>
      <c r="Q16" s="20">
        <f t="shared" si="4"/>
        <v>-0.33479520353575715</v>
      </c>
      <c r="R16" s="21">
        <f t="shared" si="5"/>
        <v>5.2190386598510043</v>
      </c>
      <c r="S16" s="21">
        <f t="shared" si="6"/>
        <v>6.8308108475985332</v>
      </c>
      <c r="T16" s="22">
        <f t="shared" si="7"/>
        <v>0.52941290270617414</v>
      </c>
      <c r="U16" s="22">
        <f t="shared" si="8"/>
        <v>-0.43572014384923036</v>
      </c>
      <c r="W16" s="7">
        <f t="shared" si="9"/>
        <v>0</v>
      </c>
      <c r="X16" s="23">
        <f t="shared" si="10"/>
        <v>5.2190386598510043</v>
      </c>
    </row>
    <row r="17" spans="2:24" thickTop="1" thickBot="1" x14ac:dyDescent="0.25">
      <c r="B17" s="9">
        <v>110</v>
      </c>
      <c r="C17" s="9" t="s">
        <v>120</v>
      </c>
      <c r="D17" s="17" t="e">
        <v>#N/A</v>
      </c>
      <c r="E17" s="17" t="e">
        <v>#N/A</v>
      </c>
      <c r="F17" s="9">
        <v>46</v>
      </c>
      <c r="G17" s="9">
        <v>46.03</v>
      </c>
      <c r="H17" s="17" t="s">
        <v>121</v>
      </c>
      <c r="I17" s="18">
        <v>46169</v>
      </c>
      <c r="J17" s="17">
        <v>0</v>
      </c>
      <c r="K17" s="9">
        <v>36.880000000000003</v>
      </c>
      <c r="L17" s="19">
        <f t="shared" si="0"/>
        <v>1.0999105278854757</v>
      </c>
      <c r="N17" s="20">
        <f t="shared" si="1"/>
        <v>1.0082191780821919</v>
      </c>
      <c r="O17" s="20">
        <f t="shared" si="2"/>
        <v>0.96513304655540455</v>
      </c>
      <c r="P17" s="20">
        <f t="shared" si="3"/>
        <v>2.5054601460823885E-2</v>
      </c>
      <c r="Q17" s="20">
        <f t="shared" si="4"/>
        <v>-0.4371331713275402</v>
      </c>
      <c r="R17" s="21">
        <f t="shared" si="5"/>
        <v>4.7219677581575263</v>
      </c>
      <c r="S17" s="21">
        <f t="shared" si="6"/>
        <v>7.9551634641181348</v>
      </c>
      <c r="T17" s="22">
        <f t="shared" si="7"/>
        <v>0.4922123468925122</v>
      </c>
      <c r="U17" s="22">
        <f t="shared" si="8"/>
        <v>-0.47292069966289235</v>
      </c>
      <c r="W17" s="7">
        <f t="shared" si="9"/>
        <v>0</v>
      </c>
      <c r="X17" s="23">
        <f t="shared" si="10"/>
        <v>4.7219677581575263</v>
      </c>
    </row>
    <row r="18" spans="2:24" thickTop="1" thickBot="1" x14ac:dyDescent="0.25">
      <c r="B18" s="9">
        <v>115</v>
      </c>
      <c r="C18" s="9" t="s">
        <v>122</v>
      </c>
      <c r="D18" s="17" t="e">
        <v>#N/A</v>
      </c>
      <c r="E18" s="17" t="e">
        <v>#N/A</v>
      </c>
      <c r="F18" s="9">
        <v>46.61</v>
      </c>
      <c r="G18" s="9">
        <v>46.64</v>
      </c>
      <c r="H18" s="17" t="s">
        <v>123</v>
      </c>
      <c r="I18" s="18">
        <v>46169</v>
      </c>
      <c r="J18" s="17">
        <v>0</v>
      </c>
      <c r="K18" s="9">
        <v>38.56</v>
      </c>
      <c r="L18" s="19">
        <f t="shared" si="0"/>
        <v>1.1500149120190875</v>
      </c>
      <c r="N18" s="20">
        <f t="shared" si="1"/>
        <v>1.0082191780821919</v>
      </c>
      <c r="O18" s="20">
        <f t="shared" si="2"/>
        <v>0.96513304655540455</v>
      </c>
      <c r="P18" s="20">
        <f t="shared" si="3"/>
        <v>-6.4308460666340481E-2</v>
      </c>
      <c r="Q18" s="20">
        <f t="shared" si="4"/>
        <v>-0.53262125064785915</v>
      </c>
      <c r="R18" s="21">
        <f t="shared" si="5"/>
        <v>4.2922800084916313</v>
      </c>
      <c r="S18" s="21">
        <f t="shared" si="6"/>
        <v>9.1468992326653193</v>
      </c>
      <c r="T18" s="22">
        <f t="shared" si="7"/>
        <v>0.45782273985984279</v>
      </c>
      <c r="U18" s="22">
        <f t="shared" si="8"/>
        <v>-0.50731030669556176</v>
      </c>
      <c r="W18" s="7">
        <f t="shared" si="9"/>
        <v>0</v>
      </c>
      <c r="X18" s="23">
        <f t="shared" si="10"/>
        <v>4.2922800084916313</v>
      </c>
    </row>
    <row r="19" spans="2:24" thickTop="1" thickBot="1" x14ac:dyDescent="0.25">
      <c r="B19" s="9">
        <v>120</v>
      </c>
      <c r="C19" s="9" t="s">
        <v>124</v>
      </c>
      <c r="D19" s="17" t="e">
        <v>#N/A</v>
      </c>
      <c r="E19" s="17" t="e">
        <v>#N/A</v>
      </c>
      <c r="F19" s="9">
        <v>47.27</v>
      </c>
      <c r="G19" s="9">
        <v>47.3</v>
      </c>
      <c r="H19" s="17" t="s">
        <v>125</v>
      </c>
      <c r="I19" s="18">
        <v>46169</v>
      </c>
      <c r="J19" s="17">
        <v>0</v>
      </c>
      <c r="K19" s="9">
        <v>40.229999999999997</v>
      </c>
      <c r="L19" s="19">
        <f t="shared" si="0"/>
        <v>1.1998210557709512</v>
      </c>
      <c r="N19" s="20">
        <f t="shared" si="1"/>
        <v>1.0082191780821919</v>
      </c>
      <c r="O19" s="20">
        <f t="shared" si="2"/>
        <v>0.96513304655540455</v>
      </c>
      <c r="P19" s="20">
        <f t="shared" si="3"/>
        <v>-0.14609953260950231</v>
      </c>
      <c r="Q19" s="20">
        <f t="shared" si="4"/>
        <v>-0.6210393903737782</v>
      </c>
      <c r="R19" s="21">
        <f t="shared" si="5"/>
        <v>3.9229518756974007</v>
      </c>
      <c r="S19" s="21">
        <f t="shared" si="6"/>
        <v>10.389343287618603</v>
      </c>
      <c r="T19" s="22">
        <f t="shared" si="7"/>
        <v>0.42651295454288835</v>
      </c>
      <c r="U19" s="22">
        <f t="shared" si="8"/>
        <v>-0.53862009201251615</v>
      </c>
      <c r="W19" s="7">
        <f t="shared" si="9"/>
        <v>0</v>
      </c>
      <c r="X19" s="23">
        <f t="shared" si="10"/>
        <v>3.9229518756974007</v>
      </c>
    </row>
    <row r="20" spans="2:24" thickTop="1" thickBot="1" x14ac:dyDescent="0.25">
      <c r="B20" s="9">
        <v>125</v>
      </c>
      <c r="C20" s="9" t="s">
        <v>126</v>
      </c>
      <c r="D20" s="17" t="e">
        <v>#N/A</v>
      </c>
      <c r="E20" s="17" t="e">
        <v>#N/A</v>
      </c>
      <c r="F20" s="17">
        <v>47.94</v>
      </c>
      <c r="G20" s="17">
        <v>47.97</v>
      </c>
      <c r="H20" s="17" t="s">
        <v>127</v>
      </c>
      <c r="I20" s="24">
        <v>46169</v>
      </c>
      <c r="J20" s="17">
        <v>0</v>
      </c>
      <c r="K20" s="17">
        <v>41.91</v>
      </c>
      <c r="L20" s="19">
        <f t="shared" si="0"/>
        <v>1.249925439904563</v>
      </c>
      <c r="N20" s="20">
        <f t="shared" si="1"/>
        <v>1.0082191780821919</v>
      </c>
      <c r="O20" s="20">
        <f t="shared" si="2"/>
        <v>0.96513304655540455</v>
      </c>
      <c r="P20" s="20">
        <f t="shared" si="3"/>
        <v>-0.22231565731507499</v>
      </c>
      <c r="Q20" s="20">
        <f t="shared" si="4"/>
        <v>-0.70398299298002887</v>
      </c>
      <c r="R20" s="21">
        <f t="shared" si="5"/>
        <v>3.5969129109854014</v>
      </c>
      <c r="S20" s="21">
        <f t="shared" si="6"/>
        <v>11.684727841119683</v>
      </c>
      <c r="T20" s="22">
        <f t="shared" si="7"/>
        <v>0.3976677089855894</v>
      </c>
      <c r="U20" s="22">
        <f t="shared" si="8"/>
        <v>-0.56746533756981521</v>
      </c>
      <c r="W20" s="7">
        <f t="shared" si="9"/>
        <v>0</v>
      </c>
      <c r="X20" s="23">
        <f t="shared" si="10"/>
        <v>3.5969129109854014</v>
      </c>
    </row>
    <row r="21" spans="2:24" thickTop="1" thickBot="1" x14ac:dyDescent="0.25">
      <c r="B21" s="9">
        <v>130</v>
      </c>
      <c r="C21" s="9" t="s">
        <v>128</v>
      </c>
      <c r="D21" s="17" t="e">
        <v>#N/A</v>
      </c>
      <c r="E21" s="17" t="e">
        <v>#N/A</v>
      </c>
      <c r="F21" s="9">
        <v>48.61</v>
      </c>
      <c r="G21" s="9">
        <v>48.64</v>
      </c>
      <c r="H21" s="17" t="s">
        <v>129</v>
      </c>
      <c r="I21" s="18">
        <v>46169</v>
      </c>
      <c r="J21" s="17">
        <v>0</v>
      </c>
      <c r="K21" s="9">
        <v>43.59</v>
      </c>
      <c r="L21" s="19">
        <f t="shared" si="0"/>
        <v>1.3000298240381749</v>
      </c>
      <c r="N21" s="20">
        <f t="shared" si="1"/>
        <v>1.0082191780821919</v>
      </c>
      <c r="O21" s="20">
        <f t="shared" si="2"/>
        <v>0.96513304655540455</v>
      </c>
      <c r="P21" s="20">
        <f t="shared" si="3"/>
        <v>-0.29304663939480324</v>
      </c>
      <c r="Q21" s="20">
        <f t="shared" si="4"/>
        <v>-0.78144145296043499</v>
      </c>
      <c r="R21" s="21">
        <f t="shared" si="5"/>
        <v>3.3099997804044627</v>
      </c>
      <c r="S21" s="21">
        <f t="shared" si="6"/>
        <v>13.019238228751835</v>
      </c>
      <c r="T21" s="22">
        <f t="shared" si="7"/>
        <v>0.37132842628260387</v>
      </c>
      <c r="U21" s="22">
        <f t="shared" si="8"/>
        <v>-0.59380462027280068</v>
      </c>
      <c r="W21" s="7">
        <f t="shared" si="9"/>
        <v>0</v>
      </c>
      <c r="X21" s="23">
        <f t="shared" si="10"/>
        <v>3.3099997804044627</v>
      </c>
    </row>
    <row r="22" spans="2:24" thickTop="1" thickBot="1" x14ac:dyDescent="0.25">
      <c r="B22" s="9">
        <v>140</v>
      </c>
      <c r="C22" s="9" t="s">
        <v>130</v>
      </c>
      <c r="D22" s="17" t="e">
        <v>#N/A</v>
      </c>
      <c r="E22" s="17" t="e">
        <v>#N/A</v>
      </c>
      <c r="F22" s="9">
        <v>49.93</v>
      </c>
      <c r="G22" s="9">
        <v>49.96</v>
      </c>
      <c r="H22" s="17" t="s">
        <v>131</v>
      </c>
      <c r="I22" s="18">
        <v>46169</v>
      </c>
      <c r="J22" s="17">
        <v>0</v>
      </c>
      <c r="K22" s="9">
        <v>46.94</v>
      </c>
      <c r="L22" s="19">
        <f t="shared" si="0"/>
        <v>1.3999403519236504</v>
      </c>
      <c r="N22" s="20">
        <f t="shared" si="1"/>
        <v>1.0082191780821919</v>
      </c>
      <c r="O22" s="20">
        <f t="shared" si="2"/>
        <v>0.96513304655540455</v>
      </c>
      <c r="P22" s="20">
        <f t="shared" si="3"/>
        <v>-0.41982305799167535</v>
      </c>
      <c r="Q22" s="20">
        <f t="shared" si="4"/>
        <v>-0.92147200712282173</v>
      </c>
      <c r="R22" s="21">
        <f t="shared" si="5"/>
        <v>2.8333649460523733</v>
      </c>
      <c r="S22" s="21">
        <f t="shared" si="6"/>
        <v>15.775799100360343</v>
      </c>
      <c r="T22" s="22">
        <f t="shared" si="7"/>
        <v>0.32554647955804283</v>
      </c>
      <c r="U22" s="22">
        <f t="shared" si="8"/>
        <v>-0.63958656699736172</v>
      </c>
      <c r="W22" s="7">
        <f t="shared" si="9"/>
        <v>0</v>
      </c>
      <c r="X22" s="23">
        <f t="shared" si="10"/>
        <v>2.8333649460523733</v>
      </c>
    </row>
    <row r="23" spans="2:24" thickTop="1" thickBot="1" x14ac:dyDescent="0.25">
      <c r="B23" s="9">
        <v>150</v>
      </c>
      <c r="C23" s="9" t="s">
        <v>132</v>
      </c>
      <c r="D23" s="17" t="e">
        <v>#N/A</v>
      </c>
      <c r="E23" s="17" t="e">
        <v>#N/A</v>
      </c>
      <c r="F23" s="9">
        <v>51.17</v>
      </c>
      <c r="G23" s="9">
        <v>51.2</v>
      </c>
      <c r="H23" s="17" t="s">
        <v>133</v>
      </c>
      <c r="I23" s="18">
        <v>46169</v>
      </c>
      <c r="J23" s="17">
        <v>0</v>
      </c>
      <c r="K23" s="9">
        <v>50.29</v>
      </c>
      <c r="L23" s="19">
        <f t="shared" si="0"/>
        <v>1.4998508798091261</v>
      </c>
      <c r="N23" s="20">
        <f t="shared" si="1"/>
        <v>1.0082191780821919</v>
      </c>
      <c r="O23" s="20">
        <f t="shared" si="2"/>
        <v>0.96513304655540455</v>
      </c>
      <c r="P23" s="20">
        <f t="shared" si="3"/>
        <v>-0.53144619702530893</v>
      </c>
      <c r="Q23" s="20">
        <f t="shared" si="4"/>
        <v>-1.0455460007786055</v>
      </c>
      <c r="R23" s="21">
        <f t="shared" si="5"/>
        <v>2.4513015316985411</v>
      </c>
      <c r="S23" s="21">
        <f t="shared" si="6"/>
        <v>18.626931391967123</v>
      </c>
      <c r="T23" s="22">
        <f t="shared" si="7"/>
        <v>0.28717997819962948</v>
      </c>
      <c r="U23" s="22">
        <f t="shared" si="8"/>
        <v>-0.67795306835577496</v>
      </c>
      <c r="W23" s="7">
        <f t="shared" si="9"/>
        <v>0</v>
      </c>
      <c r="X23" s="23">
        <f t="shared" si="10"/>
        <v>2.4513015316985411</v>
      </c>
    </row>
    <row r="26" spans="2:24" thickTop="1" thickBot="1" x14ac:dyDescent="0.25">
      <c r="B26" s="7" t="s">
        <v>45</v>
      </c>
      <c r="C26" s="7" t="s">
        <v>46</v>
      </c>
      <c r="L26" s="11"/>
    </row>
    <row r="27" spans="2:24" thickTop="1" thickBot="1" x14ac:dyDescent="0.25">
      <c r="C27" s="7" t="s">
        <v>47</v>
      </c>
      <c r="L27" s="11"/>
    </row>
    <row r="28" spans="2:24" thickTop="1" thickBot="1" x14ac:dyDescent="0.25">
      <c r="L28" s="11"/>
    </row>
    <row r="29" spans="2:24" thickTop="1" thickBot="1" x14ac:dyDescent="0.25">
      <c r="L29" s="11"/>
    </row>
    <row r="30" spans="2:24" thickTop="1" thickBot="1" x14ac:dyDescent="0.25">
      <c r="L30" s="11"/>
    </row>
    <row r="31" spans="2:24" thickTop="1" thickBot="1" x14ac:dyDescent="0.25">
      <c r="C31" s="7" t="s">
        <v>48</v>
      </c>
      <c r="L31" s="11"/>
    </row>
    <row r="32" spans="2:24" thickTop="1" thickBot="1" x14ac:dyDescent="0.25">
      <c r="L32" s="11"/>
    </row>
    <row r="33" spans="12:12" thickTop="1" thickBot="1" x14ac:dyDescent="0.25">
      <c r="L33" s="11"/>
    </row>
    <row r="34" spans="12:12" thickTop="1" thickBot="1" x14ac:dyDescent="0.25">
      <c r="L34" s="11"/>
    </row>
    <row r="35" spans="12:12" thickTop="1" thickBot="1" x14ac:dyDescent="0.25">
      <c r="L35" s="11"/>
    </row>
    <row r="36" spans="12:12" thickTop="1" thickBot="1" x14ac:dyDescent="0.25">
      <c r="L36" s="11"/>
    </row>
    <row r="37" spans="12:12" thickTop="1" thickBot="1" x14ac:dyDescent="0.25">
      <c r="L37" s="11"/>
    </row>
    <row r="38" spans="12:12" thickTop="1" thickBot="1" x14ac:dyDescent="0.25">
      <c r="L38" s="11"/>
    </row>
    <row r="39" spans="12:12" thickTop="1" thickBot="1" x14ac:dyDescent="0.25">
      <c r="L39" s="11"/>
    </row>
    <row r="40" spans="12:12" thickTop="1" thickBot="1" x14ac:dyDescent="0.25">
      <c r="L40" s="11"/>
    </row>
    <row r="41" spans="12:12" thickTop="1" thickBot="1" x14ac:dyDescent="0.25">
      <c r="L41" s="11"/>
    </row>
    <row r="42" spans="12:12" thickTop="1" thickBot="1" x14ac:dyDescent="0.25">
      <c r="L42" s="11"/>
    </row>
    <row r="43" spans="12:12" thickTop="1" thickBot="1" x14ac:dyDescent="0.25">
      <c r="L43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Y43"/>
  <sheetViews>
    <sheetView topLeftCell="G2" zoomScale="110" workbookViewId="0">
      <selection activeCell="M4" sqref="M4"/>
    </sheetView>
  </sheetViews>
  <sheetFormatPr baseColWidth="10" defaultColWidth="9.1796875" defaultRowHeight="11" thickTop="1" thickBottom="1" x14ac:dyDescent="0.25"/>
  <cols>
    <col min="1" max="1" width="9.1796875" style="7"/>
    <col min="2" max="2" width="12.7265625" style="7" customWidth="1"/>
    <col min="3" max="3" width="20.7265625" style="7" customWidth="1"/>
    <col min="4" max="4" width="5.7265625" style="7" bestFit="1" customWidth="1"/>
    <col min="5" max="5" width="5.81640625" style="7" customWidth="1"/>
    <col min="6" max="6" width="5.1796875" style="7" bestFit="1" customWidth="1"/>
    <col min="7" max="7" width="11.453125" style="7" customWidth="1"/>
    <col min="8" max="8" width="18.1796875" style="7" customWidth="1"/>
    <col min="9" max="9" width="10.1796875" style="7" customWidth="1"/>
    <col min="10" max="10" width="11.453125" style="7" customWidth="1"/>
    <col min="11" max="11" width="12" style="7" customWidth="1"/>
    <col min="12" max="12" width="6.26953125" style="7" customWidth="1"/>
    <col min="13" max="13" width="9.1796875" style="7"/>
    <col min="14" max="15" width="9.1796875" style="11"/>
    <col min="16" max="17" width="6.26953125" style="11" bestFit="1" customWidth="1"/>
    <col min="18" max="18" width="9.1796875" style="7"/>
    <col min="19" max="19" width="10" style="7" bestFit="1" customWidth="1"/>
    <col min="20" max="16384" width="9.1796875" style="7"/>
  </cols>
  <sheetData>
    <row r="2" spans="2:25" s="2" customFormat="1" ht="14" thickTop="1" thickBot="1" x14ac:dyDescent="0.35">
      <c r="B2" s="1" t="s">
        <v>0</v>
      </c>
      <c r="G2" s="3" t="s">
        <v>1</v>
      </c>
      <c r="H2" s="4" t="s">
        <v>2</v>
      </c>
      <c r="J2" s="3" t="s">
        <v>3</v>
      </c>
      <c r="K2" s="5">
        <v>45801</v>
      </c>
      <c r="N2" s="6"/>
      <c r="O2" s="6"/>
      <c r="P2" s="6"/>
      <c r="Q2" s="6"/>
    </row>
    <row r="3" spans="2:25" s="2" customFormat="1" ht="13.5" thickTop="1" thickBot="1" x14ac:dyDescent="0.3">
      <c r="J3" s="6"/>
      <c r="N3" s="6"/>
      <c r="O3" s="6"/>
      <c r="P3" s="6"/>
      <c r="Q3" s="6"/>
    </row>
    <row r="4" spans="2:25" thickTop="1" thickBot="1" x14ac:dyDescent="0.25">
      <c r="D4" s="3" t="s">
        <v>4</v>
      </c>
      <c r="E4" s="8">
        <v>46357</v>
      </c>
      <c r="G4" s="3" t="s">
        <v>5</v>
      </c>
      <c r="H4" s="9">
        <f>K15</f>
        <v>34.840000000000003</v>
      </c>
      <c r="J4" s="3" t="s">
        <v>6</v>
      </c>
      <c r="K4" s="10">
        <v>3.5200000000000002E-2</v>
      </c>
    </row>
    <row r="5" spans="2:25" ht="11.5" thickTop="1" thickBot="1" x14ac:dyDescent="0.3">
      <c r="N5" s="12" t="s">
        <v>7</v>
      </c>
    </row>
    <row r="6" spans="2:25" s="15" customFormat="1" ht="22" thickTop="1" thickBot="1" x14ac:dyDescent="0.3">
      <c r="B6" s="13" t="s">
        <v>8</v>
      </c>
      <c r="C6" s="14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3" t="s">
        <v>14</v>
      </c>
      <c r="I6" s="13" t="s">
        <v>15</v>
      </c>
      <c r="J6" s="13" t="s">
        <v>16</v>
      </c>
      <c r="K6" s="13" t="s">
        <v>17</v>
      </c>
      <c r="N6" s="13" t="s">
        <v>18</v>
      </c>
      <c r="O6" s="13" t="s">
        <v>19</v>
      </c>
      <c r="P6" s="13" t="s">
        <v>20</v>
      </c>
      <c r="Q6" s="13" t="s">
        <v>21</v>
      </c>
      <c r="R6" s="13" t="s">
        <v>22</v>
      </c>
      <c r="S6" s="13" t="s">
        <v>23</v>
      </c>
      <c r="T6" s="16" t="s">
        <v>24</v>
      </c>
      <c r="U6" s="16" t="s">
        <v>25</v>
      </c>
      <c r="W6" s="15" t="s">
        <v>26</v>
      </c>
      <c r="X6" s="15" t="s">
        <v>27</v>
      </c>
    </row>
    <row r="7" spans="2:25" thickTop="1" thickBot="1" x14ac:dyDescent="0.25">
      <c r="B7" s="9">
        <v>50</v>
      </c>
      <c r="C7" s="9" t="s">
        <v>151</v>
      </c>
      <c r="D7" s="17" t="e">
        <v>#N/A</v>
      </c>
      <c r="E7" s="17" t="e">
        <v>#N/A</v>
      </c>
      <c r="F7" s="9">
        <v>45.93</v>
      </c>
      <c r="G7" s="9">
        <v>45.94</v>
      </c>
      <c r="H7" s="17" t="s">
        <v>134</v>
      </c>
      <c r="I7" s="18">
        <v>46352</v>
      </c>
      <c r="J7" s="17" t="e">
        <v>#N/A</v>
      </c>
      <c r="K7" s="9">
        <v>17.420000000000002</v>
      </c>
      <c r="L7" s="19">
        <f>K7/$H$4</f>
        <v>0.5</v>
      </c>
      <c r="N7" s="20">
        <f>(I7-$K$2)/365</f>
        <v>1.5095890410958903</v>
      </c>
      <c r="O7" s="20">
        <f>EXP(-$K$4*N7)</f>
        <v>0.94824958672102433</v>
      </c>
      <c r="P7" s="20">
        <f>(LN($H$4/K7)+0.5*(G7/100)^2*N7)/(G7/100*SQRT(N7))</f>
        <v>1.5102407204530715</v>
      </c>
      <c r="Q7" s="20">
        <f>(LN($H$4/K7)-0.5*(G7/100)^2*N7)/(G7/100*SQRT(N7))</f>
        <v>0.94579737396269037</v>
      </c>
      <c r="R7" s="21">
        <f>O7*($H$4*_xlfn.NORM.S.DIST(P7,TRUE)-K7*_xlfn.NORM.S.DIST(Q7,TRUE))</f>
        <v>17.198144640348087</v>
      </c>
      <c r="S7" s="21">
        <f>O7*(K7*_xlfn.NORM.S.DIST(-Q7,TRUE)-$H$4*_xlfn.NORM.S.DIST(-P7,TRUE))</f>
        <v>0.67963683966784327</v>
      </c>
      <c r="T7" s="22">
        <f>O7*_xlfn.NORM.S.DIST(P7,TRUE)</f>
        <v>0.88614776749497692</v>
      </c>
      <c r="U7" s="22">
        <f>O7*(_xlfn.NORM.S.DIST(P7,TRUE)-1)</f>
        <v>-6.2101819226047392E-2</v>
      </c>
      <c r="W7" s="7">
        <f>MAX($H$4-K7,0)</f>
        <v>17.420000000000002</v>
      </c>
      <c r="X7" s="23">
        <f>R7-W7</f>
        <v>-0.22185535965191505</v>
      </c>
      <c r="Y7" s="15"/>
    </row>
    <row r="8" spans="2:25" thickTop="1" thickBot="1" x14ac:dyDescent="0.25">
      <c r="B8" s="9">
        <v>60</v>
      </c>
      <c r="C8" s="9" t="s">
        <v>152</v>
      </c>
      <c r="D8" s="17" t="e">
        <v>#N/A</v>
      </c>
      <c r="E8" s="17" t="e">
        <v>#N/A</v>
      </c>
      <c r="F8" s="9">
        <v>44.55</v>
      </c>
      <c r="G8" s="9">
        <v>44.55</v>
      </c>
      <c r="H8" s="17" t="s">
        <v>135</v>
      </c>
      <c r="I8" s="18">
        <v>46352</v>
      </c>
      <c r="J8" s="17" t="e">
        <v>#N/A</v>
      </c>
      <c r="K8" s="9">
        <v>20.91</v>
      </c>
      <c r="L8" s="19">
        <f t="shared" ref="L8:L23" si="0">K8/$H$4</f>
        <v>0.6001722158438576</v>
      </c>
      <c r="N8" s="20">
        <f t="shared" ref="N8:N23" si="1">(I8-$K$2)/365</f>
        <v>1.5095890410958903</v>
      </c>
      <c r="O8" s="20">
        <f t="shared" ref="O8:O23" si="2">EXP(-$K$4*N8)</f>
        <v>0.94824958672102433</v>
      </c>
      <c r="P8" s="20">
        <f t="shared" ref="P8:P23" si="3">(LN($H$4/K8)+0.5*(G8/100)^2*N8)/(G8/100*SQRT(N8))</f>
        <v>1.2064030716580725</v>
      </c>
      <c r="Q8" s="20">
        <f t="shared" ref="Q8:Q23" si="4">(LN($H$4/K8)-0.5*(G8/100)^2*N8)/(G8/100*SQRT(N8))</f>
        <v>0.6590380066570608</v>
      </c>
      <c r="R8" s="21">
        <f t="shared" ref="R8:R23" si="5">O8*($H$4*_xlfn.NORM.S.DIST(P8,TRUE)-K8*_xlfn.NORM.S.DIST(Q8,TRUE))</f>
        <v>14.503317273399647</v>
      </c>
      <c r="S8" s="21">
        <f t="shared" ref="S8:S23" si="6">O8*(K8*_xlfn.NORM.S.DIST(-Q8,TRUE)-$H$4*_xlfn.NORM.S.DIST(-P8,TRUE))</f>
        <v>1.2942005303757769</v>
      </c>
      <c r="T8" s="22">
        <f t="shared" ref="T8:T23" si="7">O8*_xlfn.NORM.S.DIST(P8,TRUE)</f>
        <v>0.84030933478843972</v>
      </c>
      <c r="U8" s="22">
        <f t="shared" ref="U8:U23" si="8">O8*(_xlfn.NORM.S.DIST(P8,TRUE)-1)</f>
        <v>-0.10794025193258459</v>
      </c>
      <c r="W8" s="7">
        <f t="shared" ref="W8:W23" si="9">MAX($H$4-K8,0)</f>
        <v>13.930000000000003</v>
      </c>
      <c r="X8" s="23">
        <f t="shared" ref="X8:X23" si="10">R8-W8</f>
        <v>0.57331727339964367</v>
      </c>
      <c r="Y8" s="15"/>
    </row>
    <row r="9" spans="2:25" thickTop="1" thickBot="1" x14ac:dyDescent="0.25">
      <c r="B9" s="9">
        <v>70</v>
      </c>
      <c r="C9" s="9" t="s">
        <v>153</v>
      </c>
      <c r="D9" s="17" t="e">
        <v>#N/A</v>
      </c>
      <c r="E9" s="17" t="e">
        <v>#N/A</v>
      </c>
      <c r="F9" s="9">
        <v>43.45</v>
      </c>
      <c r="G9" s="9">
        <v>43.46</v>
      </c>
      <c r="H9" s="17" t="s">
        <v>136</v>
      </c>
      <c r="I9" s="18">
        <v>46352</v>
      </c>
      <c r="J9" s="17" t="e">
        <v>#N/A</v>
      </c>
      <c r="K9" s="9">
        <v>24.39</v>
      </c>
      <c r="L9" s="19">
        <f t="shared" si="0"/>
        <v>0.70005740528128579</v>
      </c>
      <c r="N9" s="20">
        <f t="shared" si="1"/>
        <v>1.5095890410958903</v>
      </c>
      <c r="O9" s="20">
        <f t="shared" si="2"/>
        <v>0.94824958672102433</v>
      </c>
      <c r="P9" s="20">
        <f t="shared" si="3"/>
        <v>0.93479749896403985</v>
      </c>
      <c r="Q9" s="20">
        <f t="shared" si="4"/>
        <v>0.4008247554187207</v>
      </c>
      <c r="R9" s="21">
        <f t="shared" si="5"/>
        <v>12.09181949009125</v>
      </c>
      <c r="S9" s="21">
        <f t="shared" si="6"/>
        <v>2.1826113088565413</v>
      </c>
      <c r="T9" s="22">
        <f t="shared" si="7"/>
        <v>0.7823567974507295</v>
      </c>
      <c r="U9" s="22">
        <f t="shared" si="8"/>
        <v>-0.1658927892702948</v>
      </c>
      <c r="W9" s="7">
        <f t="shared" si="9"/>
        <v>10.450000000000003</v>
      </c>
      <c r="X9" s="23">
        <f t="shared" si="10"/>
        <v>1.6418194900912475</v>
      </c>
      <c r="Y9" s="15"/>
    </row>
    <row r="10" spans="2:25" thickTop="1" thickBot="1" x14ac:dyDescent="0.25">
      <c r="B10" s="9">
        <v>75</v>
      </c>
      <c r="C10" s="9" t="s">
        <v>154</v>
      </c>
      <c r="D10" s="17" t="e">
        <v>#N/A</v>
      </c>
      <c r="E10" s="17" t="e">
        <v>#N/A</v>
      </c>
      <c r="F10" s="9">
        <v>43</v>
      </c>
      <c r="G10" s="9">
        <v>43.01</v>
      </c>
      <c r="H10" s="17" t="s">
        <v>137</v>
      </c>
      <c r="I10" s="18">
        <v>46352</v>
      </c>
      <c r="J10" s="17" t="e">
        <v>#N/A</v>
      </c>
      <c r="K10" s="9">
        <v>26.13</v>
      </c>
      <c r="L10" s="19">
        <f t="shared" si="0"/>
        <v>0.74999999999999989</v>
      </c>
      <c r="N10" s="20">
        <f t="shared" si="1"/>
        <v>1.5095890410958903</v>
      </c>
      <c r="O10" s="20">
        <f t="shared" si="2"/>
        <v>0.94824958672102433</v>
      </c>
      <c r="P10" s="20">
        <f t="shared" si="3"/>
        <v>0.80861672774257487</v>
      </c>
      <c r="Q10" s="20">
        <f t="shared" si="4"/>
        <v>0.28017292424777102</v>
      </c>
      <c r="R10" s="21">
        <f t="shared" si="5"/>
        <v>10.997576311290542</v>
      </c>
      <c r="S10" s="21">
        <f t="shared" si="6"/>
        <v>2.7383224109504143</v>
      </c>
      <c r="T10" s="22">
        <f t="shared" si="7"/>
        <v>0.74971663798492461</v>
      </c>
      <c r="U10" s="22">
        <f t="shared" si="8"/>
        <v>-0.19853294873609972</v>
      </c>
      <c r="W10" s="7">
        <f t="shared" si="9"/>
        <v>8.7100000000000044</v>
      </c>
      <c r="X10" s="23">
        <f t="shared" si="10"/>
        <v>2.2875763112905378</v>
      </c>
      <c r="Y10" s="15"/>
    </row>
    <row r="11" spans="2:25" thickTop="1" thickBot="1" x14ac:dyDescent="0.25">
      <c r="B11" s="9">
        <v>80</v>
      </c>
      <c r="C11" s="9" t="s">
        <v>155</v>
      </c>
      <c r="D11" s="17" t="e">
        <v>#N/A</v>
      </c>
      <c r="E11" s="17" t="e">
        <v>#N/A</v>
      </c>
      <c r="F11" s="9">
        <v>42.61</v>
      </c>
      <c r="G11" s="9">
        <v>42.62</v>
      </c>
      <c r="H11" s="17" t="s">
        <v>138</v>
      </c>
      <c r="I11" s="18">
        <v>46352</v>
      </c>
      <c r="J11" s="17" t="e">
        <v>#N/A</v>
      </c>
      <c r="K11" s="9">
        <v>27.87</v>
      </c>
      <c r="L11" s="19">
        <f t="shared" si="0"/>
        <v>0.7999425947187141</v>
      </c>
      <c r="N11" s="20">
        <f t="shared" si="1"/>
        <v>1.5095890410958903</v>
      </c>
      <c r="O11" s="20">
        <f t="shared" si="2"/>
        <v>0.94824958672102433</v>
      </c>
      <c r="P11" s="20">
        <f t="shared" si="3"/>
        <v>0.68809249257914251</v>
      </c>
      <c r="Q11" s="20">
        <f t="shared" si="4"/>
        <v>0.16444043712811854</v>
      </c>
      <c r="R11" s="21">
        <f t="shared" si="5"/>
        <v>9.9801175450223312</v>
      </c>
      <c r="S11" s="21">
        <f t="shared" si="6"/>
        <v>3.3708179255767883</v>
      </c>
      <c r="T11" s="22">
        <f t="shared" si="7"/>
        <v>0.71526725301643834</v>
      </c>
      <c r="U11" s="22">
        <f t="shared" si="8"/>
        <v>-0.23298233370458593</v>
      </c>
      <c r="W11" s="7">
        <f t="shared" si="9"/>
        <v>6.9700000000000024</v>
      </c>
      <c r="X11" s="23">
        <f t="shared" si="10"/>
        <v>3.0101175450223288</v>
      </c>
    </row>
    <row r="12" spans="2:25" thickTop="1" thickBot="1" x14ac:dyDescent="0.25">
      <c r="B12" s="9">
        <v>85</v>
      </c>
      <c r="C12" s="9" t="s">
        <v>156</v>
      </c>
      <c r="D12" s="17" t="e">
        <v>#N/A</v>
      </c>
      <c r="E12" s="17" t="e">
        <v>#N/A</v>
      </c>
      <c r="F12" s="17">
        <v>42.28</v>
      </c>
      <c r="G12" s="17">
        <v>42.29</v>
      </c>
      <c r="H12" s="17" t="s">
        <v>139</v>
      </c>
      <c r="I12" s="24">
        <v>46352</v>
      </c>
      <c r="J12" s="17" t="e">
        <v>#N/A</v>
      </c>
      <c r="K12" s="17">
        <v>29.62</v>
      </c>
      <c r="L12" s="19">
        <f t="shared" si="0"/>
        <v>0.8501722158438576</v>
      </c>
      <c r="N12" s="20">
        <f t="shared" si="1"/>
        <v>1.5095890410958903</v>
      </c>
      <c r="O12" s="20">
        <f t="shared" si="2"/>
        <v>0.94824958672102433</v>
      </c>
      <c r="P12" s="20">
        <f t="shared" si="3"/>
        <v>0.57218736460162578</v>
      </c>
      <c r="Q12" s="20">
        <f t="shared" si="4"/>
        <v>5.2589865187646315E-2</v>
      </c>
      <c r="R12" s="21">
        <f t="shared" si="5"/>
        <v>9.035217458911676</v>
      </c>
      <c r="S12" s="21">
        <f t="shared" si="6"/>
        <v>4.0853546162279288</v>
      </c>
      <c r="T12" s="22">
        <f t="shared" si="7"/>
        <v>0.67932835240257772</v>
      </c>
      <c r="U12" s="22">
        <f t="shared" si="8"/>
        <v>-0.26892123431844661</v>
      </c>
      <c r="W12" s="7">
        <f t="shared" si="9"/>
        <v>5.2200000000000024</v>
      </c>
      <c r="X12" s="23">
        <f t="shared" si="10"/>
        <v>3.8152174589116736</v>
      </c>
    </row>
    <row r="13" spans="2:25" thickTop="1" thickBot="1" x14ac:dyDescent="0.25">
      <c r="B13" s="9">
        <v>90</v>
      </c>
      <c r="C13" s="9" t="s">
        <v>157</v>
      </c>
      <c r="D13" s="17" t="e">
        <v>#N/A</v>
      </c>
      <c r="E13" s="17" t="e">
        <v>#N/A</v>
      </c>
      <c r="F13" s="9">
        <v>42</v>
      </c>
      <c r="G13" s="9">
        <v>42.02</v>
      </c>
      <c r="H13" s="17" t="s">
        <v>140</v>
      </c>
      <c r="I13" s="18">
        <v>46352</v>
      </c>
      <c r="J13" s="17" t="e">
        <v>#N/A</v>
      </c>
      <c r="K13" s="9">
        <v>31.36</v>
      </c>
      <c r="L13" s="19">
        <f t="shared" si="0"/>
        <v>0.9001148105625717</v>
      </c>
      <c r="N13" s="20">
        <f t="shared" si="1"/>
        <v>1.5095890410958903</v>
      </c>
      <c r="O13" s="20">
        <f t="shared" si="2"/>
        <v>0.94824958672102433</v>
      </c>
      <c r="P13" s="20">
        <f t="shared" si="3"/>
        <v>0.46196924741398704</v>
      </c>
      <c r="Q13" s="20">
        <f t="shared" si="4"/>
        <v>-5.4310887969683197E-2</v>
      </c>
      <c r="R13" s="21">
        <f t="shared" si="5"/>
        <v>8.1728300716816005</v>
      </c>
      <c r="S13" s="21">
        <f t="shared" si="6"/>
        <v>4.8729215098924321</v>
      </c>
      <c r="T13" s="22">
        <f t="shared" si="7"/>
        <v>0.64286420768121333</v>
      </c>
      <c r="U13" s="22">
        <f t="shared" si="8"/>
        <v>-0.30538537903981094</v>
      </c>
      <c r="W13" s="7">
        <f t="shared" si="9"/>
        <v>3.480000000000004</v>
      </c>
      <c r="X13" s="23">
        <f t="shared" si="10"/>
        <v>4.6928300716815965</v>
      </c>
    </row>
    <row r="14" spans="2:25" thickTop="1" thickBot="1" x14ac:dyDescent="0.25">
      <c r="B14" s="9">
        <v>95</v>
      </c>
      <c r="C14" s="9" t="s">
        <v>158</v>
      </c>
      <c r="D14" s="17" t="e">
        <v>#N/A</v>
      </c>
      <c r="E14" s="17" t="e">
        <v>#N/A</v>
      </c>
      <c r="F14" s="17">
        <v>41.79</v>
      </c>
      <c r="G14" s="17">
        <v>41.81</v>
      </c>
      <c r="H14" s="17" t="s">
        <v>141</v>
      </c>
      <c r="I14" s="24">
        <v>46352</v>
      </c>
      <c r="J14" s="17" t="e">
        <v>#N/A</v>
      </c>
      <c r="K14" s="17">
        <v>33.1</v>
      </c>
      <c r="L14" s="19">
        <f t="shared" si="0"/>
        <v>0.95005740528128579</v>
      </c>
      <c r="N14" s="20">
        <f t="shared" si="1"/>
        <v>1.5095890410958903</v>
      </c>
      <c r="O14" s="20">
        <f t="shared" si="2"/>
        <v>0.94824958672102433</v>
      </c>
      <c r="P14" s="20">
        <f t="shared" si="3"/>
        <v>0.35658304232924931</v>
      </c>
      <c r="Q14" s="20">
        <f t="shared" si="4"/>
        <v>-0.15711692103084718</v>
      </c>
      <c r="R14" s="21">
        <f t="shared" si="5"/>
        <v>7.3862626611404689</v>
      </c>
      <c r="S14" s="21">
        <f t="shared" si="6"/>
        <v>5.7363083802458847</v>
      </c>
      <c r="T14" s="22">
        <f t="shared" si="7"/>
        <v>0.6062140764855567</v>
      </c>
      <c r="U14" s="22">
        <f t="shared" si="8"/>
        <v>-0.34203551023546763</v>
      </c>
      <c r="W14" s="7">
        <f t="shared" si="9"/>
        <v>1.740000000000002</v>
      </c>
      <c r="X14" s="23">
        <f t="shared" si="10"/>
        <v>5.6462626611404669</v>
      </c>
    </row>
    <row r="15" spans="2:25" thickTop="1" thickBot="1" x14ac:dyDescent="0.25">
      <c r="B15" s="9">
        <v>100</v>
      </c>
      <c r="C15" s="9" t="s">
        <v>159</v>
      </c>
      <c r="D15" s="17" t="e">
        <v>#N/A</v>
      </c>
      <c r="E15" s="17" t="e">
        <v>#N/A</v>
      </c>
      <c r="F15" s="9">
        <v>41.63</v>
      </c>
      <c r="G15" s="9">
        <v>41.66</v>
      </c>
      <c r="H15" s="17" t="s">
        <v>142</v>
      </c>
      <c r="I15" s="18">
        <v>46352</v>
      </c>
      <c r="J15" s="17" t="e">
        <v>#N/A</v>
      </c>
      <c r="K15" s="9">
        <v>34.840000000000003</v>
      </c>
      <c r="L15" s="19">
        <f t="shared" si="0"/>
        <v>1</v>
      </c>
      <c r="N15" s="20">
        <f>(I15-$K$2)/365</f>
        <v>1.5095890410958903</v>
      </c>
      <c r="O15" s="20">
        <f t="shared" si="2"/>
        <v>0.94824958672102433</v>
      </c>
      <c r="P15" s="20">
        <f>(LN($H$4/K15)+0.5*(G15/100)^2*N15)/(G15/100*SQRT(N15))</f>
        <v>0.25592849167162895</v>
      </c>
      <c r="Q15" s="20">
        <f t="shared" si="4"/>
        <v>-0.25592849167162895</v>
      </c>
      <c r="R15" s="21">
        <f t="shared" si="5"/>
        <v>6.673277148029773</v>
      </c>
      <c r="S15" s="21">
        <f t="shared" si="6"/>
        <v>6.673277148029773</v>
      </c>
      <c r="T15" s="22">
        <f t="shared" si="7"/>
        <v>0.56989513130583036</v>
      </c>
      <c r="U15" s="22">
        <f t="shared" si="8"/>
        <v>-0.37835445541519391</v>
      </c>
      <c r="W15" s="7">
        <f t="shared" si="9"/>
        <v>0</v>
      </c>
      <c r="X15" s="23">
        <f t="shared" si="10"/>
        <v>6.673277148029773</v>
      </c>
    </row>
    <row r="16" spans="2:25" thickTop="1" thickBot="1" x14ac:dyDescent="0.25">
      <c r="B16" s="9">
        <v>105</v>
      </c>
      <c r="C16" s="9" t="s">
        <v>160</v>
      </c>
      <c r="D16" s="17" t="e">
        <v>#N/A</v>
      </c>
      <c r="E16" s="17" t="e">
        <v>#N/A</v>
      </c>
      <c r="F16" s="17">
        <v>41.53</v>
      </c>
      <c r="G16" s="17">
        <v>41.56</v>
      </c>
      <c r="H16" s="17" t="s">
        <v>143</v>
      </c>
      <c r="I16" s="24">
        <v>46352</v>
      </c>
      <c r="J16" s="17" t="e">
        <v>#N/A</v>
      </c>
      <c r="K16" s="17">
        <v>36.58</v>
      </c>
      <c r="L16" s="19">
        <f t="shared" si="0"/>
        <v>1.049942594718714</v>
      </c>
      <c r="N16" s="20">
        <f t="shared" si="1"/>
        <v>1.5095890410958903</v>
      </c>
      <c r="O16" s="20">
        <f t="shared" si="2"/>
        <v>0.94824958672102433</v>
      </c>
      <c r="P16" s="20">
        <f t="shared" si="3"/>
        <v>0.15987196542820228</v>
      </c>
      <c r="Q16" s="20">
        <f t="shared" si="4"/>
        <v>-0.3507563645704968</v>
      </c>
      <c r="R16" s="21">
        <f t="shared" si="5"/>
        <v>6.0292559699613868</v>
      </c>
      <c r="S16" s="21">
        <f t="shared" si="6"/>
        <v>7.6792102508559639</v>
      </c>
      <c r="T16" s="22">
        <f t="shared" si="7"/>
        <v>0.53434720823236781</v>
      </c>
      <c r="U16" s="22">
        <f t="shared" si="8"/>
        <v>-0.41390237848865652</v>
      </c>
      <c r="W16" s="7">
        <f t="shared" si="9"/>
        <v>0</v>
      </c>
      <c r="X16" s="23">
        <f t="shared" si="10"/>
        <v>6.0292559699613868</v>
      </c>
    </row>
    <row r="17" spans="2:24" thickTop="1" thickBot="1" x14ac:dyDescent="0.25">
      <c r="B17" s="9">
        <v>110</v>
      </c>
      <c r="C17" s="9" t="s">
        <v>161</v>
      </c>
      <c r="D17" s="17" t="e">
        <v>#N/A</v>
      </c>
      <c r="E17" s="17" t="e">
        <v>#N/A</v>
      </c>
      <c r="F17" s="9">
        <v>41.5</v>
      </c>
      <c r="G17" s="9">
        <v>41.53</v>
      </c>
      <c r="H17" s="17" t="s">
        <v>144</v>
      </c>
      <c r="I17" s="18">
        <v>46352</v>
      </c>
      <c r="J17" s="17" t="e">
        <v>#N/A</v>
      </c>
      <c r="K17" s="9">
        <v>38.33</v>
      </c>
      <c r="L17" s="19">
        <f t="shared" si="0"/>
        <v>1.1001722158438574</v>
      </c>
      <c r="N17" s="20">
        <f t="shared" si="1"/>
        <v>1.5095890410958903</v>
      </c>
      <c r="O17" s="20">
        <f t="shared" si="2"/>
        <v>0.94824958672102433</v>
      </c>
      <c r="P17" s="20">
        <f t="shared" si="3"/>
        <v>6.8035489276230571E-2</v>
      </c>
      <c r="Q17" s="20">
        <f t="shared" si="4"/>
        <v>-0.44222424471910077</v>
      </c>
      <c r="R17" s="21">
        <f t="shared" si="5"/>
        <v>5.450605485414699</v>
      </c>
      <c r="S17" s="21">
        <f t="shared" si="6"/>
        <v>8.7599965430710736</v>
      </c>
      <c r="T17" s="22">
        <f t="shared" si="7"/>
        <v>0.49984256276332728</v>
      </c>
      <c r="U17" s="22">
        <f t="shared" si="8"/>
        <v>-0.44840702395769705</v>
      </c>
      <c r="W17" s="7">
        <f t="shared" si="9"/>
        <v>0</v>
      </c>
      <c r="X17" s="23">
        <f t="shared" si="10"/>
        <v>5.450605485414699</v>
      </c>
    </row>
    <row r="18" spans="2:24" thickTop="1" thickBot="1" x14ac:dyDescent="0.25">
      <c r="B18" s="9">
        <v>115</v>
      </c>
      <c r="C18" s="9" t="s">
        <v>162</v>
      </c>
      <c r="D18" s="17" t="e">
        <v>#N/A</v>
      </c>
      <c r="E18" s="17" t="e">
        <v>#N/A</v>
      </c>
      <c r="F18" s="9">
        <v>41.52</v>
      </c>
      <c r="G18" s="9">
        <v>41.55</v>
      </c>
      <c r="H18" s="17" t="s">
        <v>145</v>
      </c>
      <c r="I18" s="18">
        <v>46352</v>
      </c>
      <c r="J18" s="17" t="e">
        <v>#N/A</v>
      </c>
      <c r="K18" s="9">
        <v>40.07</v>
      </c>
      <c r="L18" s="19">
        <f t="shared" si="0"/>
        <v>1.1501148105625716</v>
      </c>
      <c r="N18" s="20">
        <f t="shared" si="1"/>
        <v>1.5095890410958903</v>
      </c>
      <c r="O18" s="20">
        <f t="shared" si="2"/>
        <v>0.94824958672102433</v>
      </c>
      <c r="P18" s="20">
        <f t="shared" si="3"/>
        <v>-1.8714506697802235E-2</v>
      </c>
      <c r="Q18" s="20">
        <f t="shared" si="4"/>
        <v>-0.52921997136204535</v>
      </c>
      <c r="R18" s="21">
        <f t="shared" si="5"/>
        <v>4.9365487866008948</v>
      </c>
      <c r="S18" s="21">
        <f t="shared" si="6"/>
        <v>9.89589412515185</v>
      </c>
      <c r="T18" s="22">
        <f t="shared" si="7"/>
        <v>0.46704556761221527</v>
      </c>
      <c r="U18" s="22">
        <f t="shared" si="8"/>
        <v>-0.48120401910880906</v>
      </c>
      <c r="W18" s="7">
        <f t="shared" si="9"/>
        <v>0</v>
      </c>
      <c r="X18" s="23">
        <f t="shared" si="10"/>
        <v>4.9365487866008948</v>
      </c>
    </row>
    <row r="19" spans="2:24" thickTop="1" thickBot="1" x14ac:dyDescent="0.25">
      <c r="B19" s="9">
        <v>120</v>
      </c>
      <c r="C19" s="9" t="s">
        <v>163</v>
      </c>
      <c r="D19" s="17" t="e">
        <v>#N/A</v>
      </c>
      <c r="E19" s="17" t="e">
        <v>#N/A</v>
      </c>
      <c r="F19" s="9">
        <v>41.6</v>
      </c>
      <c r="G19" s="9">
        <v>41.64</v>
      </c>
      <c r="H19" s="17" t="s">
        <v>146</v>
      </c>
      <c r="I19" s="18">
        <v>46352</v>
      </c>
      <c r="J19" s="17" t="e">
        <v>#N/A</v>
      </c>
      <c r="K19" s="9">
        <v>41.81</v>
      </c>
      <c r="L19" s="19">
        <f t="shared" si="0"/>
        <v>1.2000574052812858</v>
      </c>
      <c r="N19" s="20">
        <f t="shared" si="1"/>
        <v>1.5095890410958903</v>
      </c>
      <c r="O19" s="20">
        <f t="shared" si="2"/>
        <v>0.94824958672102433</v>
      </c>
      <c r="P19" s="20">
        <f t="shared" si="3"/>
        <v>-0.10065524591861071</v>
      </c>
      <c r="Q19" s="20">
        <f t="shared" si="4"/>
        <v>-0.61226649859295679</v>
      </c>
      <c r="R19" s="21">
        <f t="shared" si="5"/>
        <v>4.4824520121244271</v>
      </c>
      <c r="S19" s="21">
        <f t="shared" si="6"/>
        <v>11.091751631569963</v>
      </c>
      <c r="T19" s="22">
        <f t="shared" si="7"/>
        <v>0.43611143004597813</v>
      </c>
      <c r="U19" s="22">
        <f t="shared" si="8"/>
        <v>-0.51213815667504625</v>
      </c>
      <c r="W19" s="7">
        <f t="shared" si="9"/>
        <v>0</v>
      </c>
      <c r="X19" s="23">
        <f t="shared" si="10"/>
        <v>4.4824520121244271</v>
      </c>
    </row>
    <row r="20" spans="2:24" thickTop="1" thickBot="1" x14ac:dyDescent="0.25">
      <c r="B20" s="9">
        <v>125</v>
      </c>
      <c r="C20" s="9" t="s">
        <v>164</v>
      </c>
      <c r="D20" s="17" t="e">
        <v>#N/A</v>
      </c>
      <c r="E20" s="17" t="e">
        <v>#N/A</v>
      </c>
      <c r="F20" s="17">
        <v>41.75</v>
      </c>
      <c r="G20" s="17">
        <v>41.77</v>
      </c>
      <c r="H20" s="17" t="s">
        <v>147</v>
      </c>
      <c r="I20" s="24">
        <v>46352</v>
      </c>
      <c r="J20" s="17" t="e">
        <v>#N/A</v>
      </c>
      <c r="K20" s="17">
        <v>43.55</v>
      </c>
      <c r="L20" s="19">
        <f t="shared" si="0"/>
        <v>1.2499999999999998</v>
      </c>
      <c r="N20" s="20">
        <f t="shared" si="1"/>
        <v>1.5095890410958903</v>
      </c>
      <c r="O20" s="20">
        <f t="shared" si="2"/>
        <v>0.94824958672102433</v>
      </c>
      <c r="P20" s="20">
        <f t="shared" si="3"/>
        <v>-0.17819671279777055</v>
      </c>
      <c r="Q20" s="20">
        <f t="shared" si="4"/>
        <v>-0.69140521482004336</v>
      </c>
      <c r="R20" s="21">
        <f t="shared" si="5"/>
        <v>4.0789123459985577</v>
      </c>
      <c r="S20" s="21">
        <f t="shared" si="6"/>
        <v>12.33816624633867</v>
      </c>
      <c r="T20" s="22">
        <f t="shared" si="7"/>
        <v>0.40706860848402582</v>
      </c>
      <c r="U20" s="22">
        <f t="shared" si="8"/>
        <v>-0.54118097823699862</v>
      </c>
      <c r="W20" s="7">
        <f t="shared" si="9"/>
        <v>0</v>
      </c>
      <c r="X20" s="23">
        <f t="shared" si="10"/>
        <v>4.0789123459985577</v>
      </c>
    </row>
    <row r="21" spans="2:24" thickTop="1" thickBot="1" x14ac:dyDescent="0.25">
      <c r="B21" s="9">
        <v>130</v>
      </c>
      <c r="C21" s="9" t="s">
        <v>165</v>
      </c>
      <c r="D21" s="17" t="e">
        <v>#N/A</v>
      </c>
      <c r="E21" s="17" t="e">
        <v>#N/A</v>
      </c>
      <c r="F21" s="9">
        <v>41.94</v>
      </c>
      <c r="G21" s="9">
        <v>41.96</v>
      </c>
      <c r="H21" s="17" t="s">
        <v>148</v>
      </c>
      <c r="I21" s="18">
        <v>46352</v>
      </c>
      <c r="J21" s="17" t="e">
        <v>#N/A</v>
      </c>
      <c r="K21" s="9">
        <v>45.3</v>
      </c>
      <c r="L21" s="19">
        <f t="shared" si="0"/>
        <v>1.3002296211251434</v>
      </c>
      <c r="N21" s="20">
        <f t="shared" si="1"/>
        <v>1.5095890410958903</v>
      </c>
      <c r="O21" s="20">
        <f t="shared" si="2"/>
        <v>0.94824958672102433</v>
      </c>
      <c r="P21" s="20">
        <f t="shared" si="3"/>
        <v>-0.25147976310679115</v>
      </c>
      <c r="Q21" s="20">
        <f t="shared" si="4"/>
        <v>-0.76702270648372606</v>
      </c>
      <c r="R21" s="21">
        <f t="shared" si="5"/>
        <v>3.7224960911137615</v>
      </c>
      <c r="S21" s="21">
        <f t="shared" si="6"/>
        <v>13.641186768215668</v>
      </c>
      <c r="T21" s="22">
        <f t="shared" si="7"/>
        <v>0.37998409456276855</v>
      </c>
      <c r="U21" s="22">
        <f t="shared" si="8"/>
        <v>-0.56826549215825573</v>
      </c>
      <c r="W21" s="7">
        <f t="shared" si="9"/>
        <v>0</v>
      </c>
      <c r="X21" s="23">
        <f t="shared" si="10"/>
        <v>3.7224960911137615</v>
      </c>
    </row>
    <row r="22" spans="2:24" thickTop="1" thickBot="1" x14ac:dyDescent="0.25">
      <c r="B22" s="9">
        <v>140</v>
      </c>
      <c r="C22" s="9" t="s">
        <v>166</v>
      </c>
      <c r="D22" s="17" t="e">
        <v>#N/A</v>
      </c>
      <c r="E22" s="17" t="e">
        <v>#N/A</v>
      </c>
      <c r="F22" s="9">
        <v>42.48</v>
      </c>
      <c r="G22" s="9">
        <v>42.49</v>
      </c>
      <c r="H22" s="17" t="s">
        <v>149</v>
      </c>
      <c r="I22" s="18">
        <v>46352</v>
      </c>
      <c r="J22" s="17" t="e">
        <v>#N/A</v>
      </c>
      <c r="K22" s="9">
        <v>48.78</v>
      </c>
      <c r="L22" s="19">
        <f t="shared" si="0"/>
        <v>1.4001148105625716</v>
      </c>
      <c r="N22" s="20">
        <f t="shared" si="1"/>
        <v>1.5095890410958903</v>
      </c>
      <c r="O22" s="20">
        <f t="shared" si="2"/>
        <v>0.94824958672102433</v>
      </c>
      <c r="P22" s="20">
        <f t="shared" si="3"/>
        <v>-0.38364483608689953</v>
      </c>
      <c r="Q22" s="20">
        <f t="shared" si="4"/>
        <v>-0.90569964218999688</v>
      </c>
      <c r="R22" s="21">
        <f t="shared" si="5"/>
        <v>3.1396231288553507</v>
      </c>
      <c r="S22" s="21">
        <f t="shared" si="6"/>
        <v>16.358222367746428</v>
      </c>
      <c r="T22" s="22">
        <f t="shared" si="7"/>
        <v>0.33247607792742484</v>
      </c>
      <c r="U22" s="22">
        <f t="shared" si="8"/>
        <v>-0.61577350879359949</v>
      </c>
      <c r="W22" s="7">
        <f t="shared" si="9"/>
        <v>0</v>
      </c>
      <c r="X22" s="23">
        <f t="shared" si="10"/>
        <v>3.1396231288553507</v>
      </c>
    </row>
    <row r="23" spans="2:24" thickTop="1" thickBot="1" x14ac:dyDescent="0.25">
      <c r="B23" s="9">
        <v>150</v>
      </c>
      <c r="C23" s="9" t="s">
        <v>167</v>
      </c>
      <c r="D23" s="17" t="e">
        <v>#N/A</v>
      </c>
      <c r="E23" s="17" t="e">
        <v>#N/A</v>
      </c>
      <c r="F23" s="9">
        <v>43.19</v>
      </c>
      <c r="G23" s="9">
        <v>43.16</v>
      </c>
      <c r="H23" s="17" t="s">
        <v>150</v>
      </c>
      <c r="I23" s="18">
        <v>46352</v>
      </c>
      <c r="J23" s="17" t="e">
        <v>#N/A</v>
      </c>
      <c r="K23" s="9">
        <v>52.26</v>
      </c>
      <c r="L23" s="19">
        <f t="shared" si="0"/>
        <v>1.4999999999999998</v>
      </c>
      <c r="N23" s="20">
        <f t="shared" si="1"/>
        <v>1.5095890410958903</v>
      </c>
      <c r="O23" s="20">
        <f t="shared" si="2"/>
        <v>0.94824958672102433</v>
      </c>
      <c r="P23" s="20">
        <f t="shared" si="3"/>
        <v>-0.49947138031734056</v>
      </c>
      <c r="Q23" s="20">
        <f t="shared" si="4"/>
        <v>-1.0297581638289828</v>
      </c>
      <c r="R23" s="21">
        <f t="shared" si="5"/>
        <v>2.6885858216481675</v>
      </c>
      <c r="S23" s="21">
        <f t="shared" si="6"/>
        <v>19.207093622328408</v>
      </c>
      <c r="T23" s="22">
        <f t="shared" si="7"/>
        <v>0.29274709436221014</v>
      </c>
      <c r="U23" s="22">
        <f t="shared" si="8"/>
        <v>-0.6555024923588143</v>
      </c>
      <c r="W23" s="7">
        <f t="shared" si="9"/>
        <v>0</v>
      </c>
      <c r="X23" s="23">
        <f t="shared" si="10"/>
        <v>2.6885858216481675</v>
      </c>
    </row>
    <row r="26" spans="2:24" thickTop="1" thickBot="1" x14ac:dyDescent="0.25">
      <c r="B26" s="7" t="s">
        <v>45</v>
      </c>
      <c r="C26" s="7" t="s">
        <v>46</v>
      </c>
      <c r="L26" s="11"/>
    </row>
    <row r="27" spans="2:24" thickTop="1" thickBot="1" x14ac:dyDescent="0.25">
      <c r="C27" s="7" t="s">
        <v>47</v>
      </c>
      <c r="L27" s="11"/>
    </row>
    <row r="28" spans="2:24" thickTop="1" thickBot="1" x14ac:dyDescent="0.25">
      <c r="L28" s="11"/>
    </row>
    <row r="29" spans="2:24" thickTop="1" thickBot="1" x14ac:dyDescent="0.25">
      <c r="L29" s="11"/>
    </row>
    <row r="30" spans="2:24" thickTop="1" thickBot="1" x14ac:dyDescent="0.25">
      <c r="L30" s="11"/>
    </row>
    <row r="31" spans="2:24" thickTop="1" thickBot="1" x14ac:dyDescent="0.25">
      <c r="C31" s="7" t="s">
        <v>48</v>
      </c>
      <c r="L31" s="11"/>
    </row>
    <row r="32" spans="2:24" thickTop="1" thickBot="1" x14ac:dyDescent="0.25">
      <c r="L32" s="11"/>
    </row>
    <row r="33" spans="12:12" thickTop="1" thickBot="1" x14ac:dyDescent="0.25">
      <c r="L33" s="11"/>
    </row>
    <row r="34" spans="12:12" thickTop="1" thickBot="1" x14ac:dyDescent="0.25">
      <c r="L34" s="11"/>
    </row>
    <row r="35" spans="12:12" thickTop="1" thickBot="1" x14ac:dyDescent="0.25">
      <c r="L35" s="11"/>
    </row>
    <row r="36" spans="12:12" thickTop="1" thickBot="1" x14ac:dyDescent="0.25">
      <c r="L36" s="11"/>
    </row>
    <row r="37" spans="12:12" thickTop="1" thickBot="1" x14ac:dyDescent="0.25">
      <c r="L37" s="11"/>
    </row>
    <row r="38" spans="12:12" thickTop="1" thickBot="1" x14ac:dyDescent="0.25">
      <c r="L38" s="11"/>
    </row>
    <row r="39" spans="12:12" thickTop="1" thickBot="1" x14ac:dyDescent="0.25">
      <c r="L39" s="11"/>
    </row>
    <row r="40" spans="12:12" thickTop="1" thickBot="1" x14ac:dyDescent="0.25">
      <c r="L40" s="11"/>
    </row>
    <row r="41" spans="12:12" thickTop="1" thickBot="1" x14ac:dyDescent="0.25">
      <c r="L41" s="11"/>
    </row>
    <row r="42" spans="12:12" thickTop="1" thickBot="1" x14ac:dyDescent="0.25">
      <c r="L42" s="11"/>
    </row>
    <row r="43" spans="12:12" thickTop="1" thickBot="1" x14ac:dyDescent="0.25">
      <c r="L4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Jul 25</vt:lpstr>
      <vt:lpstr>Dec 25</vt:lpstr>
      <vt:lpstr>Jun 26</vt:lpstr>
      <vt:lpstr>Dec 26</vt:lpstr>
    </vt:vector>
  </TitlesOfParts>
  <Company>Axpo Services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Baillo Moreno Alvaro TEO-T</dc:creator>
  <cp:lastModifiedBy>Ramon Gonzalez</cp:lastModifiedBy>
  <dcterms:created xsi:type="dcterms:W3CDTF">2025-05-23T14:39:26Z</dcterms:created>
  <dcterms:modified xsi:type="dcterms:W3CDTF">2025-05-25T20:22:49Z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8f8310-773b-421c-bb16-a09e7820894b_Enabled">
    <vt:lpwstr>true</vt:lpwstr>
  </property>
  <property fmtid="{D5CDD505-2E9C-101B-9397-08002B2CF9AE}" pid="3" name="MSIP_Label_008f8310-773b-421c-bb16-a09e7820894b_SetDate">
    <vt:lpwstr>2025-05-23T14:39:26Z</vt:lpwstr>
  </property>
  <property fmtid="{D5CDD505-2E9C-101B-9397-08002B2CF9AE}" pid="4" name="MSIP_Label_008f8310-773b-421c-bb16-a09e7820894b_Method">
    <vt:lpwstr>Standard</vt:lpwstr>
  </property>
  <property fmtid="{D5CDD505-2E9C-101B-9397-08002B2CF9AE}" pid="5" name="MSIP_Label_008f8310-773b-421c-bb16-a09e7820894b_Name">
    <vt:lpwstr>LBL002-001</vt:lpwstr>
  </property>
  <property fmtid="{D5CDD505-2E9C-101B-9397-08002B2CF9AE}" pid="6" name="MSIP_Label_008f8310-773b-421c-bb16-a09e7820894b_SiteId">
    <vt:lpwstr>8619c67c-945a-48ae-8e77-35b1b71c9b98</vt:lpwstr>
  </property>
  <property fmtid="{D5CDD505-2E9C-101B-9397-08002B2CF9AE}" pid="7" name="MSIP_Label_008f8310-773b-421c-bb16-a09e7820894b_ActionId">
    <vt:lpwstr>43d640a1-bbe9-40ff-988f-ca8e21759109</vt:lpwstr>
  </property>
  <property fmtid="{D5CDD505-2E9C-101B-9397-08002B2CF9AE}" pid="8" name="MSIP_Label_008f8310-773b-421c-bb16-a09e7820894b_ContentBits">
    <vt:lpwstr>0</vt:lpwstr>
  </property>
</Properties>
</file>